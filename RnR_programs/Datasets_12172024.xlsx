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minliveunc-my.sharepoint.com/personal/jewa_ad_unc_edu/Documents/RAship/DPP4i_CPRD/RnR/SASPrograms/"/>
    </mc:Choice>
  </mc:AlternateContent>
  <xr:revisionPtr revIDLastSave="115" documentId="11_83D172272B74D412A48923A1090EAD139E1BAF64" xr6:coauthVersionLast="47" xr6:coauthVersionMax="47" xr10:uidLastSave="{681398E6-C004-4AAE-9177-2BD41E0F60CB}"/>
  <bookViews>
    <workbookView xWindow="936" yWindow="408" windowWidth="19476" windowHeight="12552" xr2:uid="{00000000-000D-0000-FFFF-FFFF00000000}"/>
  </bookViews>
  <sheets>
    <sheet name="CPRD cohort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N40" i="1"/>
  <c r="M41" i="1"/>
  <c r="N41" i="1"/>
  <c r="M42" i="1"/>
  <c r="N42" i="1"/>
  <c r="M43" i="1"/>
  <c r="N43" i="1"/>
  <c r="M44" i="1"/>
  <c r="N44" i="1"/>
  <c r="M45" i="1"/>
  <c r="N45" i="1"/>
  <c r="L41" i="1"/>
  <c r="L42" i="1"/>
  <c r="L43" i="1"/>
  <c r="L44" i="1"/>
  <c r="L45" i="1"/>
  <c r="L40" i="1"/>
  <c r="L33" i="1"/>
  <c r="L34" i="1"/>
  <c r="L35" i="1"/>
  <c r="L36" i="1"/>
  <c r="L37" i="1"/>
  <c r="L32" i="1"/>
  <c r="M33" i="1"/>
  <c r="N33" i="1"/>
  <c r="M34" i="1"/>
  <c r="N34" i="1"/>
  <c r="M35" i="1"/>
  <c r="N35" i="1"/>
  <c r="M36" i="1"/>
  <c r="N36" i="1"/>
  <c r="M37" i="1"/>
  <c r="N37" i="1"/>
  <c r="N32" i="1"/>
  <c r="M32" i="1"/>
</calcChain>
</file>

<file path=xl/sharedStrings.xml><?xml version="1.0" encoding="utf-8"?>
<sst xmlns="http://schemas.openxmlformats.org/spreadsheetml/2006/main" count="147" uniqueCount="90">
  <si>
    <t>10_readdata.sas</t>
  </si>
  <si>
    <t>Program</t>
  </si>
  <si>
    <t>Input</t>
  </si>
  <si>
    <t>Output</t>
  </si>
  <si>
    <t>CSV Files - Events</t>
  </si>
  <si>
    <t>RAW.DPP4I_EVENT</t>
  </si>
  <si>
    <t>RAW.TZD_EVENT</t>
  </si>
  <si>
    <t>RAW.SU_EVENT</t>
  </si>
  <si>
    <t>RAW.SGLT2I_EVENT</t>
  </si>
  <si>
    <t>CSV Files - Treatment</t>
  </si>
  <si>
    <t>RAW.DPP4I_TRTMT</t>
  </si>
  <si>
    <t>RAW.TZD_TRTMT</t>
  </si>
  <si>
    <t>RAW.SU_TRTMT</t>
  </si>
  <si>
    <t>RAW.SGLT2I_TRTMT</t>
  </si>
  <si>
    <t>11_cleandata.sas</t>
  </si>
  <si>
    <t>TEMP.TZD_EVENTWIDE</t>
  </si>
  <si>
    <t>TEMP.SU_EVENTWIDE</t>
  </si>
  <si>
    <t>TEMP.SGLT2I_EVENTWIDE</t>
  </si>
  <si>
    <t>TEMP.DPP4I_USEPERIODS</t>
  </si>
  <si>
    <t>TEMP.TZD_USEPERIODS</t>
  </si>
  <si>
    <t>TEMP.SU_USEPERIODS</t>
  </si>
  <si>
    <t>TEMP.SGLT2I_USEPERIODS</t>
  </si>
  <si>
    <t>TEMP.DPP4I_DEMOG</t>
  </si>
  <si>
    <t>TEMP.TZD_DEMOG</t>
  </si>
  <si>
    <t>TEMP.SU_DEMOG</t>
  </si>
  <si>
    <t>TEMP.SGLT2I_DEMOG</t>
  </si>
  <si>
    <t>12_createcohorts.sas</t>
  </si>
  <si>
    <t>TEMP.DPP4I_EVENTWIDE</t>
  </si>
  <si>
    <t>TEMP.NEWUSERS_DPP4I_SU</t>
  </si>
  <si>
    <t>TEMP.NEWUSERS_DPP4I_TZD</t>
  </si>
  <si>
    <t>TEMP.NEWUSERS_DPP4I_SGLT2I</t>
  </si>
  <si>
    <t>13_merge.sas</t>
  </si>
  <si>
    <t>TEMP.NEWUSERS_DPP4I_xxx</t>
  </si>
  <si>
    <t>TEMP.xxx_DEMOG</t>
  </si>
  <si>
    <t>TEMP.xxx_EVENTSIDE</t>
  </si>
  <si>
    <t>TEMP.ALLMERGED_DPP4I_SU</t>
  </si>
  <si>
    <t>TEMP.ALLMERGED_DPP4I_TZD</t>
  </si>
  <si>
    <t>TEMP.ALLMERGED_DPP4I_SGLT2I</t>
  </si>
  <si>
    <t>TEMP.ALLMERGED_DPP4I_SU_1YRLB</t>
  </si>
  <si>
    <t>TEMP.ALLMERGED_DPP4I_TZD_1YRLB</t>
  </si>
  <si>
    <t>TEMP.ALLMERGED_DPPRI_SGLT2I_1YRLB</t>
  </si>
  <si>
    <t>WHERE EXCLUDEFLAG_PREVALENTUSER=0</t>
  </si>
  <si>
    <t>14_createanalysis.sas</t>
  </si>
  <si>
    <t>A.ALLMERGED_DPP4I_SU</t>
  </si>
  <si>
    <t>A.ALLMERGED_DPP4I_TZD</t>
  </si>
  <si>
    <t>A.ALLMERGED_DPP4I_SGLT2I</t>
  </si>
  <si>
    <t>A.ALLMERGED_DPP4I_SU_1YRLB</t>
  </si>
  <si>
    <t>A.ALLMERGED_DPP4I_TZD_1YRLB</t>
  </si>
  <si>
    <t>A.ALLMERGED_DPP4_SGLT2I_1YRLB</t>
  </si>
  <si>
    <t>TEMP.ALLMERGED_DPP4I_SGLT2I_1YRLB</t>
  </si>
  <si>
    <t>DPP4I</t>
  </si>
  <si>
    <t>comparator</t>
  </si>
  <si>
    <t>A.PS_DPP4I_SU</t>
  </si>
  <si>
    <t>A.PS_DPP4I_SU_1YRLB</t>
  </si>
  <si>
    <t>A.PS_DPP4I_TZD</t>
  </si>
  <si>
    <t>A.PS_DPP4I_SGLT2I</t>
  </si>
  <si>
    <t>A.PS_DPP4I_TZD_1YRLB</t>
  </si>
  <si>
    <t>A.PS_DPP4I_SGLT2I_1YRLB</t>
  </si>
  <si>
    <t>(additional exclusion criteria = prevalent user, same day switcher, only 1 fill, BL IBD, etc)</t>
  </si>
  <si>
    <t>(trimming implemented)</t>
  </si>
  <si>
    <t>15_psweighting.sas</t>
  </si>
  <si>
    <t>16_runanalysis.sas</t>
  </si>
  <si>
    <t>17_dependencies.sas</t>
  </si>
  <si>
    <t>TEMP.xxx_USEPERIODS</t>
  </si>
  <si>
    <t>(restrict to first period of use)</t>
  </si>
  <si>
    <t>(determine new users)</t>
  </si>
  <si>
    <t>TEMP.ABRAHAMI_DPP4I_SU</t>
  </si>
  <si>
    <t>TEMP.ABRAHAMI_DPP4I_TZD</t>
  </si>
  <si>
    <t>TEMP.ABRAHAMI_DPP4I_SGLT2I</t>
  </si>
  <si>
    <t>% RETAINED AFTER PREVALENT USER RESTRICTION</t>
  </si>
  <si>
    <t>% RETAINED AFTER ADDITIONAL EXCLUSION CRITERIA</t>
  </si>
  <si>
    <t>TEMP.ABRAHAMI_ALLMERGED_DPP4I_SU</t>
  </si>
  <si>
    <t>TEMP.ABRAHAMI_ALLMERGED_DPP4I_TZD</t>
  </si>
  <si>
    <t>TEMP.ABRAHAMI_ALLMERGED_DPP4I_SGLT2I</t>
  </si>
  <si>
    <t>TEMP.ABRAHAMI_DPP4I_xxx</t>
  </si>
  <si>
    <t>TEMP.xxxx_EVENTWIDE</t>
  </si>
  <si>
    <t>A.ABRAHAMI_ALLMERGED_DPP4I_SU</t>
  </si>
  <si>
    <t>A.ABRAHAMI_ALLMERGED_DPP4I_TZD</t>
  </si>
  <si>
    <t>A.ABRAHAMI_ALLMERGED_DPP4I_SGLT2I</t>
  </si>
  <si>
    <t>A.ABRAHAMI_PS_DPP4I_SU</t>
  </si>
  <si>
    <t>A.ABRAHAMI_PS_DPP4I_TZD</t>
  </si>
  <si>
    <t>A.ABRAHAMI_PS_DPP4I_SGLT2I</t>
  </si>
  <si>
    <t>%getCohort_ab() - restrict to first use period</t>
  </si>
  <si>
    <t xml:space="preserve">%mergeall_ab() - </t>
  </si>
  <si>
    <t>obsolete (excluded for any prior (aalb) use of compatator drug)</t>
  </si>
  <si>
    <t>Table 1 (manuscript) - 5/22 output</t>
  </si>
  <si>
    <r>
      <t xml:space="preserve">Table 1 (appendix, ACNU untrimmed) - </t>
    </r>
    <r>
      <rPr>
        <b/>
        <sz val="11"/>
        <color theme="1"/>
        <rFont val="Aptos Narrow"/>
        <family val="2"/>
        <scheme val="minor"/>
      </rPr>
      <t>added 6/5</t>
    </r>
  </si>
  <si>
    <r>
      <t xml:space="preserve">Table 1 (appendix, Abrahami untrimmed) - </t>
    </r>
    <r>
      <rPr>
        <b/>
        <sz val="11"/>
        <color theme="1"/>
        <rFont val="Aptos Narrow"/>
        <family val="2"/>
        <scheme val="minor"/>
      </rPr>
      <t>added 6/5 (dated 5/30)</t>
    </r>
  </si>
  <si>
    <r>
      <t xml:space="preserve">Table 1 (manuscript) - </t>
    </r>
    <r>
      <rPr>
        <b/>
        <sz val="11"/>
        <color theme="1"/>
        <rFont val="Aptos Narrow"/>
        <family val="2"/>
        <scheme val="minor"/>
      </rPr>
      <t>to be added</t>
    </r>
  </si>
  <si>
    <t xml:space="preserve">obsolete (excluded for any prior (aalb) use of compatator drug)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</si>
</sst>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4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164" fontId="0" fillId="0" borderId="3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0" fontId="0" fillId="0" borderId="9" xfId="0" applyBorder="1"/>
    <xf numFmtId="0" fontId="0" fillId="0" borderId="10" xfId="0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0" fontId="0" fillId="0" borderId="15" xfId="0" applyBorder="1"/>
    <xf numFmtId="164" fontId="2" fillId="0" borderId="0" xfId="1" applyNumberFormat="1" applyFont="1"/>
    <xf numFmtId="0" fontId="3" fillId="0" borderId="0" xfId="0" applyFont="1"/>
    <xf numFmtId="0" fontId="0" fillId="0" borderId="22" xfId="0" applyBorder="1"/>
    <xf numFmtId="0" fontId="0" fillId="0" borderId="2" xfId="0" applyBorder="1"/>
    <xf numFmtId="0" fontId="0" fillId="0" borderId="23" xfId="0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164" fontId="0" fillId="0" borderId="8" xfId="1" applyNumberFormat="1" applyFont="1" applyFill="1" applyBorder="1"/>
    <xf numFmtId="164" fontId="0" fillId="0" borderId="10" xfId="1" applyNumberFormat="1" applyFont="1" applyFill="1" applyBorder="1"/>
    <xf numFmtId="164" fontId="0" fillId="0" borderId="11" xfId="1" applyNumberFormat="1" applyFont="1" applyFill="1" applyBorder="1"/>
    <xf numFmtId="164" fontId="0" fillId="0" borderId="12" xfId="1" applyNumberFormat="1" applyFont="1" applyFill="1" applyBorder="1"/>
    <xf numFmtId="164" fontId="0" fillId="0" borderId="13" xfId="1" applyNumberFormat="1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164" fontId="0" fillId="0" borderId="26" xfId="1" applyNumberFormat="1" applyFont="1" applyBorder="1"/>
    <xf numFmtId="164" fontId="0" fillId="0" borderId="27" xfId="1" applyNumberFormat="1" applyFont="1" applyBorder="1"/>
    <xf numFmtId="164" fontId="0" fillId="0" borderId="28" xfId="1" applyNumberFormat="1" applyFont="1" applyBorder="1"/>
    <xf numFmtId="164" fontId="0" fillId="0" borderId="25" xfId="1" applyNumberFormat="1" applyFont="1" applyBorder="1"/>
    <xf numFmtId="164" fontId="0" fillId="0" borderId="29" xfId="1" applyNumberFormat="1" applyFont="1" applyBorder="1"/>
    <xf numFmtId="164" fontId="0" fillId="0" borderId="24" xfId="1" applyNumberFormat="1" applyFont="1" applyBorder="1"/>
    <xf numFmtId="164" fontId="0" fillId="0" borderId="30" xfId="1" applyNumberFormat="1" applyFont="1" applyBorder="1"/>
    <xf numFmtId="164" fontId="0" fillId="0" borderId="0" xfId="1" applyNumberFormat="1" applyFont="1" applyAlignment="1">
      <alignment horizontal="left"/>
    </xf>
    <xf numFmtId="0" fontId="0" fillId="0" borderId="0" xfId="0" applyAlignment="1">
      <alignment vertical="top" wrapText="1"/>
    </xf>
    <xf numFmtId="164" fontId="0" fillId="2" borderId="8" xfId="1" applyNumberFormat="1" applyFont="1" applyFill="1" applyBorder="1"/>
    <xf numFmtId="164" fontId="0" fillId="2" borderId="3" xfId="1" applyNumberFormat="1" applyFont="1" applyFill="1" applyBorder="1"/>
    <xf numFmtId="164" fontId="0" fillId="2" borderId="10" xfId="1" applyNumberFormat="1" applyFont="1" applyFill="1" applyBorder="1"/>
    <xf numFmtId="164" fontId="0" fillId="3" borderId="7" xfId="1" applyNumberFormat="1" applyFont="1" applyFill="1" applyBorder="1"/>
    <xf numFmtId="164" fontId="0" fillId="3" borderId="8" xfId="1" applyNumberFormat="1" applyFont="1" applyFill="1" applyBorder="1"/>
    <xf numFmtId="164" fontId="0" fillId="3" borderId="11" xfId="1" applyNumberFormat="1" applyFont="1" applyFill="1" applyBorder="1"/>
    <xf numFmtId="164" fontId="0" fillId="3" borderId="0" xfId="1" applyNumberFormat="1" applyFont="1" applyFill="1" applyAlignment="1">
      <alignment horizontal="left"/>
    </xf>
    <xf numFmtId="0" fontId="0" fillId="3" borderId="0" xfId="0" applyFill="1"/>
    <xf numFmtId="164" fontId="0" fillId="3" borderId="0" xfId="1" applyNumberFormat="1" applyFont="1" applyFill="1"/>
    <xf numFmtId="164" fontId="0" fillId="3" borderId="6" xfId="1" applyNumberFormat="1" applyFont="1" applyFill="1" applyBorder="1"/>
    <xf numFmtId="164" fontId="0" fillId="3" borderId="3" xfId="1" applyNumberFormat="1" applyFont="1" applyFill="1" applyBorder="1"/>
    <xf numFmtId="164" fontId="0" fillId="3" borderId="12" xfId="1" applyNumberFormat="1" applyFont="1" applyFill="1" applyBorder="1"/>
    <xf numFmtId="164" fontId="0" fillId="3" borderId="9" xfId="1" applyNumberFormat="1" applyFont="1" applyFill="1" applyBorder="1"/>
    <xf numFmtId="164" fontId="0" fillId="3" borderId="10" xfId="1" applyNumberFormat="1" applyFont="1" applyFill="1" applyBorder="1"/>
    <xf numFmtId="164" fontId="0" fillId="3" borderId="13" xfId="1" applyNumberFormat="1" applyFont="1" applyFill="1" applyBorder="1"/>
    <xf numFmtId="164" fontId="0" fillId="0" borderId="7" xfId="1" applyNumberFormat="1" applyFont="1" applyFill="1" applyBorder="1"/>
    <xf numFmtId="164" fontId="0" fillId="0" borderId="6" xfId="1" applyNumberFormat="1" applyFont="1" applyFill="1" applyBorder="1"/>
    <xf numFmtId="164" fontId="0" fillId="0" borderId="9" xfId="1" applyNumberFormat="1" applyFont="1" applyFill="1" applyBorder="1"/>
    <xf numFmtId="164" fontId="0" fillId="4" borderId="18" xfId="1" applyNumberFormat="1" applyFont="1" applyFill="1" applyBorder="1"/>
    <xf numFmtId="164" fontId="0" fillId="4" borderId="5" xfId="1" applyNumberFormat="1" applyFont="1" applyFill="1" applyBorder="1"/>
    <xf numFmtId="164" fontId="0" fillId="4" borderId="19" xfId="1" applyNumberFormat="1" applyFont="1" applyFill="1" applyBorder="1"/>
    <xf numFmtId="164" fontId="0" fillId="4" borderId="6" xfId="1" applyNumberFormat="1" applyFont="1" applyFill="1" applyBorder="1"/>
    <xf numFmtId="164" fontId="0" fillId="4" borderId="3" xfId="1" applyNumberFormat="1" applyFont="1" applyFill="1" applyBorder="1"/>
    <xf numFmtId="164" fontId="0" fillId="4" borderId="12" xfId="1" applyNumberFormat="1" applyFont="1" applyFill="1" applyBorder="1"/>
    <xf numFmtId="164" fontId="0" fillId="4" borderId="9" xfId="1" applyNumberFormat="1" applyFont="1" applyFill="1" applyBorder="1"/>
    <xf numFmtId="164" fontId="0" fillId="4" borderId="10" xfId="1" applyNumberFormat="1" applyFont="1" applyFill="1" applyBorder="1"/>
    <xf numFmtId="164" fontId="0" fillId="4" borderId="13" xfId="1" applyNumberFormat="1" applyFont="1" applyFill="1" applyBorder="1"/>
    <xf numFmtId="164" fontId="0" fillId="4" borderId="5" xfId="0" applyNumberFormat="1" applyFill="1" applyBorder="1"/>
    <xf numFmtId="164" fontId="0" fillId="4" borderId="3" xfId="0" applyNumberFormat="1" applyFill="1" applyBorder="1"/>
    <xf numFmtId="164" fontId="0" fillId="4" borderId="10" xfId="0" applyNumberFormat="1" applyFill="1" applyBorder="1"/>
    <xf numFmtId="164" fontId="0" fillId="4" borderId="7" xfId="1" applyNumberFormat="1" applyFont="1" applyFill="1" applyBorder="1"/>
    <xf numFmtId="164" fontId="0" fillId="4" borderId="8" xfId="1" applyNumberFormat="1" applyFont="1" applyFill="1" applyBorder="1"/>
    <xf numFmtId="164" fontId="0" fillId="4" borderId="11" xfId="1" applyNumberFormat="1" applyFont="1" applyFill="1" applyBorder="1"/>
    <xf numFmtId="164" fontId="0" fillId="4" borderId="26" xfId="1" applyNumberFormat="1" applyFont="1" applyFill="1" applyBorder="1"/>
    <xf numFmtId="164" fontId="0" fillId="4" borderId="27" xfId="1" applyNumberFormat="1" applyFont="1" applyFill="1" applyBorder="1"/>
    <xf numFmtId="164" fontId="0" fillId="4" borderId="28" xfId="1" applyNumberFormat="1" applyFont="1" applyFill="1" applyBorder="1"/>
    <xf numFmtId="164" fontId="0" fillId="0" borderId="26" xfId="1" applyNumberFormat="1" applyFont="1" applyFill="1" applyBorder="1"/>
    <xf numFmtId="164" fontId="0" fillId="0" borderId="27" xfId="1" applyNumberFormat="1" applyFont="1" applyFill="1" applyBorder="1"/>
    <xf numFmtId="164" fontId="0" fillId="0" borderId="28" xfId="1" applyNumberFormat="1" applyFont="1" applyFill="1" applyBorder="1"/>
    <xf numFmtId="0" fontId="4" fillId="0" borderId="0" xfId="0" applyFont="1"/>
    <xf numFmtId="164" fontId="4" fillId="0" borderId="0" xfId="1" applyNumberFormat="1" applyFont="1"/>
    <xf numFmtId="164" fontId="0" fillId="2" borderId="22" xfId="1" applyNumberFormat="1" applyFont="1" applyFill="1" applyBorder="1"/>
    <xf numFmtId="164" fontId="0" fillId="2" borderId="2" xfId="1" applyNumberFormat="1" applyFont="1" applyFill="1" applyBorder="1"/>
    <xf numFmtId="164" fontId="0" fillId="2" borderId="23" xfId="1" applyNumberFormat="1" applyFont="1" applyFill="1" applyBorder="1"/>
    <xf numFmtId="164" fontId="0" fillId="2" borderId="11" xfId="1" applyNumberFormat="1" applyFont="1" applyFill="1" applyBorder="1"/>
    <xf numFmtId="164" fontId="0" fillId="2" borderId="12" xfId="1" applyNumberFormat="1" applyFont="1" applyFill="1" applyBorder="1"/>
    <xf numFmtId="164" fontId="0" fillId="2" borderId="13" xfId="1" applyNumberFormat="1" applyFont="1" applyFill="1" applyBorder="1"/>
    <xf numFmtId="164" fontId="0" fillId="3" borderId="15" xfId="1" applyNumberFormat="1" applyFont="1" applyFill="1" applyBorder="1"/>
    <xf numFmtId="164" fontId="0" fillId="3" borderId="4" xfId="1" applyNumberFormat="1" applyFont="1" applyFill="1" applyBorder="1"/>
    <xf numFmtId="164" fontId="0" fillId="3" borderId="16" xfId="1" applyNumberFormat="1" applyFont="1" applyFill="1" applyBorder="1"/>
    <xf numFmtId="164" fontId="0" fillId="3" borderId="22" xfId="1" applyNumberFormat="1" applyFont="1" applyFill="1" applyBorder="1"/>
    <xf numFmtId="164" fontId="0" fillId="3" borderId="2" xfId="1" applyNumberFormat="1" applyFont="1" applyFill="1" applyBorder="1"/>
    <xf numFmtId="164" fontId="0" fillId="3" borderId="1" xfId="1" applyNumberFormat="1" applyFont="1" applyFill="1" applyBorder="1"/>
    <xf numFmtId="0" fontId="0" fillId="0" borderId="35" xfId="0" applyBorder="1"/>
    <xf numFmtId="164" fontId="0" fillId="0" borderId="36" xfId="1" applyNumberFormat="1" applyFont="1" applyBorder="1"/>
    <xf numFmtId="164" fontId="0" fillId="0" borderId="37" xfId="1" applyNumberFormat="1" applyFont="1" applyBorder="1"/>
    <xf numFmtId="164" fontId="0" fillId="0" borderId="38" xfId="1" applyNumberFormat="1" applyFont="1" applyBorder="1"/>
    <xf numFmtId="0" fontId="0" fillId="0" borderId="18" xfId="0" applyBorder="1"/>
    <xf numFmtId="0" fontId="2" fillId="0" borderId="11" xfId="0" applyFont="1" applyBorder="1"/>
    <xf numFmtId="0" fontId="0" fillId="0" borderId="0" xfId="0" applyAlignment="1">
      <alignment horizontal="left" vertical="top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21" xfId="0" applyBorder="1" applyAlignment="1">
      <alignment horizontal="left" vertical="top" wrapText="1"/>
    </xf>
    <xf numFmtId="0" fontId="0" fillId="0" borderId="21" xfId="0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7"/>
  <sheetViews>
    <sheetView tabSelected="1" zoomScale="90" zoomScaleNormal="90" workbookViewId="0">
      <pane ySplit="1" topLeftCell="A40" activePane="bottomLeft" state="frozen"/>
      <selection pane="bottomLeft" activeCell="H66" sqref="H66"/>
    </sheetView>
  </sheetViews>
  <sheetFormatPr defaultRowHeight="15" x14ac:dyDescent="0.25"/>
  <cols>
    <col min="1" max="1" width="22.140625" customWidth="1"/>
    <col min="2" max="2" width="40" bestFit="1" customWidth="1"/>
    <col min="3" max="3" width="43.42578125" customWidth="1"/>
    <col min="4" max="4" width="13.28515625" style="1" bestFit="1" customWidth="1"/>
    <col min="5" max="5" width="11.5703125" style="1" bestFit="1" customWidth="1"/>
    <col min="6" max="6" width="12.85546875" style="1" bestFit="1" customWidth="1"/>
    <col min="8" max="8" width="11.5703125" bestFit="1" customWidth="1"/>
    <col min="9" max="9" width="10.7109375" bestFit="1" customWidth="1"/>
    <col min="10" max="10" width="11.7109375" bestFit="1" customWidth="1"/>
    <col min="13" max="13" width="12.85546875" bestFit="1" customWidth="1"/>
  </cols>
  <sheetData>
    <row r="1" spans="1:6" s="84" customFormat="1" ht="15.75" thickBot="1" x14ac:dyDescent="0.3">
      <c r="A1" s="84" t="s">
        <v>1</v>
      </c>
      <c r="B1" s="84" t="s">
        <v>2</v>
      </c>
      <c r="C1" s="84" t="s">
        <v>3</v>
      </c>
      <c r="D1" s="85"/>
      <c r="E1" s="85"/>
      <c r="F1" s="85"/>
    </row>
    <row r="2" spans="1:6" x14ac:dyDescent="0.25">
      <c r="A2" t="s">
        <v>0</v>
      </c>
      <c r="B2" s="8" t="s">
        <v>4</v>
      </c>
      <c r="C2" s="32" t="s">
        <v>5</v>
      </c>
      <c r="D2" s="99">
        <v>1888190</v>
      </c>
    </row>
    <row r="3" spans="1:6" x14ac:dyDescent="0.25">
      <c r="B3" s="7"/>
      <c r="C3" s="33" t="s">
        <v>6</v>
      </c>
      <c r="D3" s="100">
        <v>863220</v>
      </c>
    </row>
    <row r="4" spans="1:6" x14ac:dyDescent="0.25">
      <c r="B4" s="7"/>
      <c r="C4" s="33" t="s">
        <v>7</v>
      </c>
      <c r="D4" s="100">
        <v>2536127</v>
      </c>
    </row>
    <row r="5" spans="1:6" ht="15.75" thickBot="1" x14ac:dyDescent="0.3">
      <c r="B5" s="11"/>
      <c r="C5" s="34" t="s">
        <v>8</v>
      </c>
      <c r="D5" s="101">
        <v>647898</v>
      </c>
    </row>
    <row r="6" spans="1:6" x14ac:dyDescent="0.25">
      <c r="B6" s="102" t="s">
        <v>9</v>
      </c>
      <c r="C6" s="98" t="s">
        <v>10</v>
      </c>
      <c r="D6" s="39">
        <v>6577555</v>
      </c>
    </row>
    <row r="7" spans="1:6" x14ac:dyDescent="0.25">
      <c r="B7" s="7"/>
      <c r="C7" s="21" t="s">
        <v>11</v>
      </c>
      <c r="D7" s="40">
        <v>2561015</v>
      </c>
    </row>
    <row r="8" spans="1:6" x14ac:dyDescent="0.25">
      <c r="B8" s="7"/>
      <c r="C8" s="21" t="s">
        <v>12</v>
      </c>
      <c r="D8" s="40">
        <v>7008694</v>
      </c>
    </row>
    <row r="9" spans="1:6" ht="15.75" thickBot="1" x14ac:dyDescent="0.3">
      <c r="B9" s="11"/>
      <c r="C9" s="22" t="s">
        <v>13</v>
      </c>
      <c r="D9" s="42">
        <v>2652065</v>
      </c>
    </row>
    <row r="11" spans="1:6" ht="15.75" thickBot="1" x14ac:dyDescent="0.3"/>
    <row r="12" spans="1:6" x14ac:dyDescent="0.25">
      <c r="A12" t="s">
        <v>14</v>
      </c>
      <c r="B12" s="8" t="s">
        <v>5</v>
      </c>
      <c r="C12" s="20" t="s">
        <v>27</v>
      </c>
      <c r="D12" s="39">
        <v>105399</v>
      </c>
    </row>
    <row r="13" spans="1:6" x14ac:dyDescent="0.25">
      <c r="B13" s="7" t="s">
        <v>10</v>
      </c>
      <c r="C13" s="21" t="s">
        <v>18</v>
      </c>
      <c r="D13" s="40">
        <v>130325</v>
      </c>
    </row>
    <row r="14" spans="1:6" ht="15.75" thickBot="1" x14ac:dyDescent="0.3">
      <c r="B14" s="17"/>
      <c r="C14" s="3" t="s">
        <v>22</v>
      </c>
      <c r="D14" s="41">
        <v>105399</v>
      </c>
    </row>
    <row r="15" spans="1:6" x14ac:dyDescent="0.25">
      <c r="B15" s="8" t="s">
        <v>7</v>
      </c>
      <c r="C15" s="20" t="s">
        <v>16</v>
      </c>
      <c r="D15" s="39">
        <v>129082</v>
      </c>
    </row>
    <row r="16" spans="1:6" x14ac:dyDescent="0.25">
      <c r="B16" s="7" t="s">
        <v>12</v>
      </c>
      <c r="C16" s="21" t="s">
        <v>20</v>
      </c>
      <c r="D16" s="40">
        <v>177679</v>
      </c>
    </row>
    <row r="17" spans="1:14" ht="15.75" thickBot="1" x14ac:dyDescent="0.3">
      <c r="B17" s="17"/>
      <c r="C17" s="3" t="s">
        <v>24</v>
      </c>
      <c r="D17" s="41">
        <v>129082</v>
      </c>
    </row>
    <row r="18" spans="1:14" x14ac:dyDescent="0.25">
      <c r="B18" s="8" t="s">
        <v>6</v>
      </c>
      <c r="C18" s="20" t="s">
        <v>15</v>
      </c>
      <c r="D18" s="39">
        <v>32289</v>
      </c>
    </row>
    <row r="19" spans="1:14" x14ac:dyDescent="0.25">
      <c r="B19" s="7" t="s">
        <v>11</v>
      </c>
      <c r="C19" s="21" t="s">
        <v>19</v>
      </c>
      <c r="D19" s="40">
        <v>39531</v>
      </c>
    </row>
    <row r="20" spans="1:14" ht="15.75" thickBot="1" x14ac:dyDescent="0.3">
      <c r="B20" s="17"/>
      <c r="C20" s="3" t="s">
        <v>23</v>
      </c>
      <c r="D20" s="41">
        <v>32289</v>
      </c>
    </row>
    <row r="21" spans="1:14" x14ac:dyDescent="0.25">
      <c r="B21" s="8" t="s">
        <v>8</v>
      </c>
      <c r="C21" s="20" t="s">
        <v>17</v>
      </c>
      <c r="D21" s="39">
        <v>69059</v>
      </c>
    </row>
    <row r="22" spans="1:14" x14ac:dyDescent="0.25">
      <c r="B22" s="7" t="s">
        <v>13</v>
      </c>
      <c r="C22" s="21" t="s">
        <v>21</v>
      </c>
      <c r="D22" s="40">
        <v>81691</v>
      </c>
    </row>
    <row r="23" spans="1:14" ht="15.75" thickBot="1" x14ac:dyDescent="0.3">
      <c r="B23" s="11"/>
      <c r="C23" s="22" t="s">
        <v>25</v>
      </c>
      <c r="D23" s="42">
        <v>69059</v>
      </c>
    </row>
    <row r="25" spans="1:14" ht="15.75" thickBot="1" x14ac:dyDescent="0.3">
      <c r="E25" s="1" t="s">
        <v>50</v>
      </c>
      <c r="F25" s="1" t="s">
        <v>51</v>
      </c>
    </row>
    <row r="26" spans="1:14" x14ac:dyDescent="0.25">
      <c r="A26" t="s">
        <v>26</v>
      </c>
      <c r="B26" s="8" t="s">
        <v>18</v>
      </c>
      <c r="C26" s="32" t="s">
        <v>28</v>
      </c>
      <c r="D26" s="36">
        <v>252040</v>
      </c>
      <c r="E26" s="10">
        <v>112961</v>
      </c>
      <c r="F26" s="14">
        <v>139079</v>
      </c>
      <c r="H26" s="18"/>
    </row>
    <row r="27" spans="1:14" x14ac:dyDescent="0.25">
      <c r="A27" s="104" t="s">
        <v>65</v>
      </c>
      <c r="B27" s="7" t="s">
        <v>20</v>
      </c>
      <c r="C27" s="33" t="s">
        <v>29</v>
      </c>
      <c r="D27" s="37">
        <v>146490</v>
      </c>
      <c r="E27" s="6">
        <v>112961</v>
      </c>
      <c r="F27" s="15">
        <v>33529</v>
      </c>
    </row>
    <row r="28" spans="1:14" x14ac:dyDescent="0.25">
      <c r="A28" s="104"/>
      <c r="B28" s="7" t="s">
        <v>19</v>
      </c>
      <c r="C28" s="33" t="s">
        <v>30</v>
      </c>
      <c r="D28" s="37">
        <v>185456</v>
      </c>
      <c r="E28" s="6">
        <v>112961</v>
      </c>
      <c r="F28" s="15">
        <v>72495</v>
      </c>
    </row>
    <row r="29" spans="1:14" ht="15.75" thickBot="1" x14ac:dyDescent="0.3">
      <c r="A29" s="104"/>
      <c r="B29" s="11" t="s">
        <v>21</v>
      </c>
      <c r="C29" s="34"/>
      <c r="D29" s="38"/>
      <c r="E29" s="13"/>
      <c r="F29" s="16"/>
    </row>
    <row r="30" spans="1:14" x14ac:dyDescent="0.25">
      <c r="H30" s="43" t="s">
        <v>41</v>
      </c>
      <c r="L30" t="s">
        <v>69</v>
      </c>
    </row>
    <row r="31" spans="1:14" ht="15.75" thickBot="1" x14ac:dyDescent="0.3">
      <c r="E31" s="1" t="s">
        <v>50</v>
      </c>
      <c r="F31" s="1" t="s">
        <v>51</v>
      </c>
      <c r="I31" s="1" t="s">
        <v>50</v>
      </c>
      <c r="J31" s="1" t="s">
        <v>51</v>
      </c>
      <c r="M31" s="1" t="s">
        <v>50</v>
      </c>
      <c r="N31" s="1" t="s">
        <v>51</v>
      </c>
    </row>
    <row r="32" spans="1:14" x14ac:dyDescent="0.25">
      <c r="A32" t="s">
        <v>31</v>
      </c>
      <c r="B32" s="8" t="s">
        <v>32</v>
      </c>
      <c r="C32" s="20" t="s">
        <v>35</v>
      </c>
      <c r="D32" s="60">
        <v>234299</v>
      </c>
      <c r="E32" s="27">
        <v>105326</v>
      </c>
      <c r="F32" s="29">
        <v>128973</v>
      </c>
      <c r="H32" s="60">
        <v>160116</v>
      </c>
      <c r="I32" s="27">
        <v>46727</v>
      </c>
      <c r="J32" s="29">
        <v>113389</v>
      </c>
      <c r="L32" s="8">
        <f>ROUND(H32/D32,2)</f>
        <v>0.68</v>
      </c>
      <c r="M32" s="9">
        <f>ROUND(I32/E32,2)</f>
        <v>0.44</v>
      </c>
      <c r="N32" s="32">
        <f>ROUND(J32/F32,2)</f>
        <v>0.88</v>
      </c>
    </row>
    <row r="33" spans="1:14" x14ac:dyDescent="0.25">
      <c r="A33" s="104" t="s">
        <v>64</v>
      </c>
      <c r="B33" s="7" t="s">
        <v>33</v>
      </c>
      <c r="C33" s="21" t="s">
        <v>36</v>
      </c>
      <c r="D33" s="61">
        <v>137594</v>
      </c>
      <c r="E33" s="26">
        <v>105326</v>
      </c>
      <c r="F33" s="30">
        <v>322268</v>
      </c>
      <c r="H33" s="23">
        <v>109419</v>
      </c>
      <c r="I33" s="26">
        <v>84569</v>
      </c>
      <c r="J33" s="30">
        <v>27850</v>
      </c>
      <c r="L33" s="7">
        <f t="shared" ref="L33:L37" si="0">ROUND(H33/D33,2)</f>
        <v>0.8</v>
      </c>
      <c r="M33" s="5">
        <f t="shared" ref="M33:N37" si="1">ROUND(I33/E33,2)</f>
        <v>0.8</v>
      </c>
      <c r="N33" s="33">
        <f t="shared" si="1"/>
        <v>0.09</v>
      </c>
    </row>
    <row r="34" spans="1:14" ht="15.75" thickBot="1" x14ac:dyDescent="0.3">
      <c r="A34" s="104"/>
      <c r="B34" s="17" t="s">
        <v>34</v>
      </c>
      <c r="C34" s="3" t="s">
        <v>37</v>
      </c>
      <c r="D34" s="62">
        <v>174340</v>
      </c>
      <c r="E34" s="28">
        <v>105326</v>
      </c>
      <c r="F34" s="31">
        <v>69014</v>
      </c>
      <c r="H34" s="25">
        <v>140143</v>
      </c>
      <c r="I34" s="28">
        <v>98891</v>
      </c>
      <c r="J34" s="31">
        <v>41252</v>
      </c>
      <c r="L34" s="17">
        <f t="shared" si="0"/>
        <v>0.8</v>
      </c>
      <c r="M34" s="4">
        <f t="shared" si="1"/>
        <v>0.94</v>
      </c>
      <c r="N34" s="35">
        <f t="shared" si="1"/>
        <v>0.6</v>
      </c>
    </row>
    <row r="35" spans="1:14" x14ac:dyDescent="0.25">
      <c r="A35" s="104"/>
      <c r="B35" s="8" t="s">
        <v>32</v>
      </c>
      <c r="C35" s="20" t="s">
        <v>38</v>
      </c>
      <c r="D35" s="63">
        <v>234299</v>
      </c>
      <c r="E35" s="64">
        <v>105326</v>
      </c>
      <c r="F35" s="65">
        <v>128973</v>
      </c>
      <c r="H35" s="63">
        <v>171543</v>
      </c>
      <c r="I35" s="72">
        <v>56481</v>
      </c>
      <c r="J35" s="65">
        <v>115062</v>
      </c>
      <c r="L35" s="8">
        <f t="shared" si="0"/>
        <v>0.73</v>
      </c>
      <c r="M35" s="9">
        <f t="shared" si="1"/>
        <v>0.54</v>
      </c>
      <c r="N35" s="32">
        <f t="shared" si="1"/>
        <v>0.89</v>
      </c>
    </row>
    <row r="36" spans="1:14" x14ac:dyDescent="0.25">
      <c r="A36" s="104"/>
      <c r="B36" s="7" t="s">
        <v>33</v>
      </c>
      <c r="C36" s="21" t="s">
        <v>39</v>
      </c>
      <c r="D36" s="66">
        <v>137594</v>
      </c>
      <c r="E36" s="67">
        <v>105326</v>
      </c>
      <c r="F36" s="68">
        <v>32268</v>
      </c>
      <c r="H36" s="66">
        <v>119756</v>
      </c>
      <c r="I36" s="73">
        <v>91296</v>
      </c>
      <c r="J36" s="68">
        <v>28460</v>
      </c>
      <c r="L36" s="7">
        <f t="shared" si="0"/>
        <v>0.87</v>
      </c>
      <c r="M36" s="5">
        <f t="shared" si="1"/>
        <v>0.87</v>
      </c>
      <c r="N36" s="33">
        <f t="shared" si="1"/>
        <v>0.88</v>
      </c>
    </row>
    <row r="37" spans="1:14" ht="15.75" thickBot="1" x14ac:dyDescent="0.3">
      <c r="A37" s="104"/>
      <c r="B37" s="11" t="s">
        <v>34</v>
      </c>
      <c r="C37" s="22" t="s">
        <v>40</v>
      </c>
      <c r="D37" s="69">
        <v>174340</v>
      </c>
      <c r="E37" s="70">
        <v>105326</v>
      </c>
      <c r="F37" s="71">
        <v>69014</v>
      </c>
      <c r="H37" s="69">
        <v>147100</v>
      </c>
      <c r="I37" s="74">
        <v>99527</v>
      </c>
      <c r="J37" s="71">
        <v>47573</v>
      </c>
      <c r="L37" s="11">
        <f t="shared" si="0"/>
        <v>0.84</v>
      </c>
      <c r="M37" s="12">
        <f t="shared" si="1"/>
        <v>0.94</v>
      </c>
      <c r="N37" s="34">
        <f t="shared" si="1"/>
        <v>0.69</v>
      </c>
    </row>
    <row r="39" spans="1:14" ht="15.75" thickBot="1" x14ac:dyDescent="0.3">
      <c r="E39" s="1" t="s">
        <v>50</v>
      </c>
      <c r="F39" s="1" t="s">
        <v>51</v>
      </c>
      <c r="L39" t="s">
        <v>70</v>
      </c>
    </row>
    <row r="40" spans="1:14" x14ac:dyDescent="0.25">
      <c r="A40" t="s">
        <v>42</v>
      </c>
      <c r="B40" s="8" t="s">
        <v>35</v>
      </c>
      <c r="C40" s="20" t="s">
        <v>43</v>
      </c>
      <c r="D40" s="48">
        <v>133082</v>
      </c>
      <c r="E40" s="49">
        <v>39886</v>
      </c>
      <c r="F40" s="50">
        <v>93196</v>
      </c>
      <c r="G40" s="105" t="s">
        <v>84</v>
      </c>
      <c r="H40" s="106"/>
      <c r="I40" s="106"/>
      <c r="J40" s="107"/>
      <c r="L40" s="8">
        <f>ROUND(D40/H32,2)</f>
        <v>0.83</v>
      </c>
      <c r="M40" s="9">
        <f t="shared" ref="M40:N45" si="2">ROUND(E40/I32,2)</f>
        <v>0.85</v>
      </c>
      <c r="N40" s="32">
        <f t="shared" si="2"/>
        <v>0.82</v>
      </c>
    </row>
    <row r="41" spans="1:14" x14ac:dyDescent="0.25">
      <c r="A41" s="132" t="s">
        <v>58</v>
      </c>
      <c r="B41" s="7" t="s">
        <v>36</v>
      </c>
      <c r="C41" s="21" t="s">
        <v>44</v>
      </c>
      <c r="D41" s="54">
        <v>89602</v>
      </c>
      <c r="E41" s="55">
        <v>66389</v>
      </c>
      <c r="F41" s="56">
        <v>23213</v>
      </c>
      <c r="G41" s="108"/>
      <c r="H41" s="109"/>
      <c r="I41" s="109"/>
      <c r="J41" s="110"/>
      <c r="L41" s="7">
        <f t="shared" ref="L41:L45" si="3">ROUND(D41/H33,2)</f>
        <v>0.82</v>
      </c>
      <c r="M41" s="5">
        <f t="shared" si="2"/>
        <v>0.79</v>
      </c>
      <c r="N41" s="33">
        <f t="shared" si="2"/>
        <v>0.83</v>
      </c>
    </row>
    <row r="42" spans="1:14" ht="15.75" thickBot="1" x14ac:dyDescent="0.3">
      <c r="A42" s="132"/>
      <c r="B42" s="17" t="s">
        <v>37</v>
      </c>
      <c r="C42" s="3" t="s">
        <v>45</v>
      </c>
      <c r="D42" s="92">
        <v>93785</v>
      </c>
      <c r="E42" s="93">
        <v>59728</v>
      </c>
      <c r="F42" s="94">
        <v>34057</v>
      </c>
      <c r="G42" s="111"/>
      <c r="H42" s="112"/>
      <c r="I42" s="112"/>
      <c r="J42" s="113"/>
      <c r="L42" s="17">
        <f t="shared" si="3"/>
        <v>0.67</v>
      </c>
      <c r="M42" s="4">
        <f t="shared" si="2"/>
        <v>0.6</v>
      </c>
      <c r="N42" s="35">
        <f t="shared" si="2"/>
        <v>0.83</v>
      </c>
    </row>
    <row r="43" spans="1:14" x14ac:dyDescent="0.25">
      <c r="A43" s="132"/>
      <c r="B43" s="8" t="s">
        <v>38</v>
      </c>
      <c r="C43" s="20" t="s">
        <v>46</v>
      </c>
      <c r="D43" s="60">
        <v>142429</v>
      </c>
      <c r="E43" s="45">
        <v>47892</v>
      </c>
      <c r="F43" s="77">
        <v>94537</v>
      </c>
      <c r="G43" s="123" t="s">
        <v>86</v>
      </c>
      <c r="H43" s="124"/>
      <c r="I43" s="124"/>
      <c r="J43" s="125"/>
      <c r="L43" s="8">
        <f t="shared" si="3"/>
        <v>0.83</v>
      </c>
      <c r="M43" s="9">
        <f t="shared" si="2"/>
        <v>0.85</v>
      </c>
      <c r="N43" s="32">
        <f t="shared" si="2"/>
        <v>0.82</v>
      </c>
    </row>
    <row r="44" spans="1:14" x14ac:dyDescent="0.25">
      <c r="A44" s="132"/>
      <c r="B44" s="7" t="s">
        <v>39</v>
      </c>
      <c r="C44" s="21" t="s">
        <v>47</v>
      </c>
      <c r="D44" s="61">
        <v>97725</v>
      </c>
      <c r="E44" s="46">
        <v>74029</v>
      </c>
      <c r="F44" s="68">
        <v>23696</v>
      </c>
      <c r="G44" s="126"/>
      <c r="H44" s="127"/>
      <c r="I44" s="127"/>
      <c r="J44" s="128"/>
      <c r="L44" s="7">
        <f t="shared" si="3"/>
        <v>0.82</v>
      </c>
      <c r="M44" s="5">
        <f t="shared" si="2"/>
        <v>0.81</v>
      </c>
      <c r="N44" s="33">
        <f t="shared" si="2"/>
        <v>0.83</v>
      </c>
    </row>
    <row r="45" spans="1:14" ht="15.75" thickBot="1" x14ac:dyDescent="0.3">
      <c r="A45" s="132"/>
      <c r="B45" s="11" t="s">
        <v>49</v>
      </c>
      <c r="C45" s="22" t="s">
        <v>48</v>
      </c>
      <c r="D45" s="62">
        <v>99528</v>
      </c>
      <c r="E45" s="47">
        <v>60228</v>
      </c>
      <c r="F45" s="71">
        <v>39300</v>
      </c>
      <c r="G45" s="129"/>
      <c r="H45" s="130"/>
      <c r="I45" s="130"/>
      <c r="J45" s="131"/>
      <c r="L45" s="11">
        <f t="shared" si="3"/>
        <v>0.68</v>
      </c>
      <c r="M45" s="12">
        <f t="shared" si="2"/>
        <v>0.61</v>
      </c>
      <c r="N45" s="34">
        <f t="shared" si="2"/>
        <v>0.83</v>
      </c>
    </row>
    <row r="47" spans="1:14" ht="15.75" thickBot="1" x14ac:dyDescent="0.3">
      <c r="E47" s="1" t="s">
        <v>50</v>
      </c>
      <c r="F47" s="1" t="s">
        <v>51</v>
      </c>
    </row>
    <row r="48" spans="1:14" x14ac:dyDescent="0.25">
      <c r="A48" t="s">
        <v>60</v>
      </c>
      <c r="B48" s="8" t="s">
        <v>43</v>
      </c>
      <c r="C48" s="20" t="s">
        <v>52</v>
      </c>
      <c r="D48" s="48">
        <v>115915</v>
      </c>
      <c r="E48" s="49">
        <v>37961</v>
      </c>
      <c r="F48" s="95">
        <v>77954</v>
      </c>
      <c r="G48" s="105" t="s">
        <v>89</v>
      </c>
      <c r="H48" s="106"/>
      <c r="I48" s="106"/>
      <c r="J48" s="107"/>
    </row>
    <row r="49" spans="1:10" x14ac:dyDescent="0.25">
      <c r="A49" s="132" t="s">
        <v>59</v>
      </c>
      <c r="B49" s="7" t="s">
        <v>44</v>
      </c>
      <c r="C49" s="21" t="s">
        <v>54</v>
      </c>
      <c r="D49" s="54">
        <v>76040</v>
      </c>
      <c r="E49" s="55">
        <v>60903</v>
      </c>
      <c r="F49" s="96">
        <v>15137</v>
      </c>
      <c r="G49" s="108"/>
      <c r="H49" s="109"/>
      <c r="I49" s="109"/>
      <c r="J49" s="110"/>
    </row>
    <row r="50" spans="1:10" ht="15.75" thickBot="1" x14ac:dyDescent="0.3">
      <c r="A50" s="132"/>
      <c r="B50" s="17" t="s">
        <v>45</v>
      </c>
      <c r="C50" s="3" t="s">
        <v>55</v>
      </c>
      <c r="D50" s="92">
        <v>71222</v>
      </c>
      <c r="E50" s="93">
        <v>41181</v>
      </c>
      <c r="F50" s="97">
        <v>30041</v>
      </c>
      <c r="G50" s="111"/>
      <c r="H50" s="112"/>
      <c r="I50" s="112"/>
      <c r="J50" s="113"/>
    </row>
    <row r="51" spans="1:10" ht="15" customHeight="1" x14ac:dyDescent="0.25">
      <c r="A51" s="132"/>
      <c r="B51" s="8" t="s">
        <v>46</v>
      </c>
      <c r="C51" s="20" t="s">
        <v>53</v>
      </c>
      <c r="D51" s="60">
        <v>124812</v>
      </c>
      <c r="E51" s="45">
        <v>45957</v>
      </c>
      <c r="F51" s="86">
        <v>78855</v>
      </c>
      <c r="G51" s="114" t="s">
        <v>85</v>
      </c>
      <c r="H51" s="115"/>
      <c r="I51" s="115"/>
      <c r="J51" s="116"/>
    </row>
    <row r="52" spans="1:10" x14ac:dyDescent="0.25">
      <c r="A52" s="132"/>
      <c r="B52" s="7" t="s">
        <v>47</v>
      </c>
      <c r="C52" s="21" t="s">
        <v>56</v>
      </c>
      <c r="D52" s="23">
        <v>84428</v>
      </c>
      <c r="E52" s="46">
        <v>68575</v>
      </c>
      <c r="F52" s="87">
        <v>15853</v>
      </c>
      <c r="G52" s="117"/>
      <c r="H52" s="118"/>
      <c r="I52" s="118"/>
      <c r="J52" s="119"/>
    </row>
    <row r="53" spans="1:10" ht="15.75" thickBot="1" x14ac:dyDescent="0.3">
      <c r="A53" s="132"/>
      <c r="B53" s="11" t="s">
        <v>48</v>
      </c>
      <c r="C53" s="22" t="s">
        <v>57</v>
      </c>
      <c r="D53" s="25">
        <v>76340</v>
      </c>
      <c r="E53" s="47">
        <v>41413</v>
      </c>
      <c r="F53" s="88">
        <v>34927</v>
      </c>
      <c r="G53" s="120"/>
      <c r="H53" s="121"/>
      <c r="I53" s="121"/>
      <c r="J53" s="122"/>
    </row>
    <row r="56" spans="1:10" x14ac:dyDescent="0.25">
      <c r="A56" t="s">
        <v>61</v>
      </c>
    </row>
    <row r="58" spans="1:10" x14ac:dyDescent="0.25">
      <c r="H58" s="51" t="s">
        <v>41</v>
      </c>
      <c r="I58" s="52"/>
      <c r="J58" s="52"/>
    </row>
    <row r="59" spans="1:10" ht="15.75" thickBot="1" x14ac:dyDescent="0.3">
      <c r="A59" t="s">
        <v>62</v>
      </c>
      <c r="E59" s="1" t="s">
        <v>50</v>
      </c>
      <c r="F59" s="1" t="s">
        <v>51</v>
      </c>
      <c r="H59" s="52"/>
      <c r="I59" s="53" t="s">
        <v>50</v>
      </c>
      <c r="J59" s="53" t="s">
        <v>51</v>
      </c>
    </row>
    <row r="60" spans="1:10" x14ac:dyDescent="0.25">
      <c r="A60" s="132" t="s">
        <v>82</v>
      </c>
      <c r="B60" s="8" t="s">
        <v>63</v>
      </c>
      <c r="C60" s="20" t="s">
        <v>66</v>
      </c>
      <c r="D60" s="24">
        <v>234299</v>
      </c>
      <c r="E60" s="10">
        <v>105326</v>
      </c>
      <c r="F60" s="14">
        <v>128973</v>
      </c>
      <c r="H60" s="48">
        <v>192231</v>
      </c>
      <c r="I60" s="49">
        <v>76442</v>
      </c>
      <c r="J60" s="50">
        <v>115789</v>
      </c>
    </row>
    <row r="61" spans="1:10" ht="15" customHeight="1" x14ac:dyDescent="0.25">
      <c r="A61" s="132"/>
      <c r="B61" s="7"/>
      <c r="C61" s="21" t="s">
        <v>67</v>
      </c>
      <c r="D61" s="23">
        <v>137594</v>
      </c>
      <c r="E61" s="6">
        <v>105326</v>
      </c>
      <c r="F61" s="15">
        <v>32268</v>
      </c>
      <c r="H61" s="54">
        <v>126736</v>
      </c>
      <c r="I61" s="55">
        <v>98121</v>
      </c>
      <c r="J61" s="56">
        <v>28615</v>
      </c>
    </row>
    <row r="62" spans="1:10" ht="15.75" thickBot="1" x14ac:dyDescent="0.3">
      <c r="A62" s="132"/>
      <c r="B62" s="11"/>
      <c r="C62" s="22" t="s">
        <v>68</v>
      </c>
      <c r="D62" s="25">
        <v>174340</v>
      </c>
      <c r="E62" s="13">
        <v>105326</v>
      </c>
      <c r="F62" s="16">
        <v>69014</v>
      </c>
      <c r="H62" s="57">
        <v>148628</v>
      </c>
      <c r="I62" s="58">
        <v>99765</v>
      </c>
      <c r="J62" s="59">
        <v>48863</v>
      </c>
    </row>
    <row r="63" spans="1:10" x14ac:dyDescent="0.25">
      <c r="A63" s="44"/>
      <c r="D63" s="2"/>
      <c r="E63" s="2"/>
      <c r="F63" s="2"/>
      <c r="H63" s="43"/>
    </row>
    <row r="64" spans="1:10" x14ac:dyDescent="0.25">
      <c r="A64" s="44"/>
      <c r="D64" s="2"/>
      <c r="E64" s="2"/>
      <c r="F64" s="2"/>
      <c r="H64" s="43" t="s">
        <v>41</v>
      </c>
    </row>
    <row r="65" spans="1:10" ht="15.75" thickBot="1" x14ac:dyDescent="0.3">
      <c r="A65" s="44"/>
      <c r="E65" s="1" t="s">
        <v>50</v>
      </c>
      <c r="F65" s="1" t="s">
        <v>51</v>
      </c>
      <c r="I65" s="1" t="s">
        <v>50</v>
      </c>
      <c r="J65" s="1" t="s">
        <v>51</v>
      </c>
    </row>
    <row r="66" spans="1:10" x14ac:dyDescent="0.25">
      <c r="A66" s="133" t="s">
        <v>83</v>
      </c>
      <c r="B66" s="8" t="s">
        <v>74</v>
      </c>
      <c r="C66" s="103" t="s">
        <v>71</v>
      </c>
      <c r="D66" s="78">
        <v>234299</v>
      </c>
      <c r="E66" s="76">
        <v>105326</v>
      </c>
      <c r="F66" s="77">
        <v>128973</v>
      </c>
      <c r="G66" s="19"/>
      <c r="H66" s="75">
        <v>171543</v>
      </c>
      <c r="I66" s="76">
        <v>56481</v>
      </c>
      <c r="J66" s="77">
        <v>115062</v>
      </c>
    </row>
    <row r="67" spans="1:10" ht="15" customHeight="1" x14ac:dyDescent="0.25">
      <c r="A67" s="133"/>
      <c r="B67" s="7" t="s">
        <v>33</v>
      </c>
      <c r="C67" s="33" t="s">
        <v>72</v>
      </c>
      <c r="D67" s="79">
        <v>137594</v>
      </c>
      <c r="E67" s="67">
        <v>105326</v>
      </c>
      <c r="F67" s="68">
        <v>32268</v>
      </c>
      <c r="H67" s="66">
        <v>119756</v>
      </c>
      <c r="I67" s="67">
        <v>91296</v>
      </c>
      <c r="J67" s="68">
        <v>28460</v>
      </c>
    </row>
    <row r="68" spans="1:10" ht="15.75" thickBot="1" x14ac:dyDescent="0.3">
      <c r="A68" s="133"/>
      <c r="B68" s="11" t="s">
        <v>75</v>
      </c>
      <c r="C68" s="34" t="s">
        <v>73</v>
      </c>
      <c r="D68" s="80">
        <v>174340</v>
      </c>
      <c r="E68" s="70">
        <v>105326</v>
      </c>
      <c r="F68" s="71">
        <v>69014</v>
      </c>
      <c r="H68" s="69">
        <v>147100</v>
      </c>
      <c r="I68" s="70">
        <v>99527</v>
      </c>
      <c r="J68" s="71">
        <v>47573</v>
      </c>
    </row>
    <row r="69" spans="1:10" ht="15.75" thickBot="1" x14ac:dyDescent="0.3">
      <c r="A69" s="44"/>
      <c r="D69" s="2"/>
      <c r="E69" s="2"/>
      <c r="F69" s="2"/>
      <c r="H69" s="43"/>
    </row>
    <row r="70" spans="1:10" x14ac:dyDescent="0.25">
      <c r="A70" s="104" t="s">
        <v>58</v>
      </c>
      <c r="B70" s="8" t="s">
        <v>71</v>
      </c>
      <c r="C70" s="103" t="s">
        <v>76</v>
      </c>
      <c r="D70" s="81">
        <v>166553</v>
      </c>
      <c r="E70" s="45">
        <v>72016</v>
      </c>
      <c r="F70" s="77">
        <v>94537</v>
      </c>
      <c r="G70" s="123" t="s">
        <v>87</v>
      </c>
      <c r="H70" s="124"/>
      <c r="I70" s="124"/>
      <c r="J70" s="125"/>
    </row>
    <row r="71" spans="1:10" x14ac:dyDescent="0.25">
      <c r="A71" s="104"/>
      <c r="B71" s="7" t="s">
        <v>72</v>
      </c>
      <c r="C71" s="33" t="s">
        <v>77</v>
      </c>
      <c r="D71" s="82">
        <v>103536</v>
      </c>
      <c r="E71" s="46">
        <v>79840</v>
      </c>
      <c r="F71" s="68">
        <v>23696</v>
      </c>
      <c r="G71" s="126"/>
      <c r="H71" s="127"/>
      <c r="I71" s="127"/>
      <c r="J71" s="128"/>
    </row>
    <row r="72" spans="1:10" ht="15.75" thickBot="1" x14ac:dyDescent="0.3">
      <c r="A72" s="104"/>
      <c r="B72" s="11" t="s">
        <v>73</v>
      </c>
      <c r="C72" s="34" t="s">
        <v>78</v>
      </c>
      <c r="D72" s="83">
        <v>104097</v>
      </c>
      <c r="E72" s="47">
        <v>64797</v>
      </c>
      <c r="F72" s="71">
        <v>39300</v>
      </c>
      <c r="G72" s="129"/>
      <c r="H72" s="130"/>
      <c r="I72" s="130"/>
      <c r="J72" s="131"/>
    </row>
    <row r="74" spans="1:10" ht="15.75" thickBot="1" x14ac:dyDescent="0.3">
      <c r="E74" s="1" t="s">
        <v>50</v>
      </c>
      <c r="F74" s="1" t="s">
        <v>51</v>
      </c>
    </row>
    <row r="75" spans="1:10" x14ac:dyDescent="0.25">
      <c r="B75" s="8" t="s">
        <v>76</v>
      </c>
      <c r="C75" s="32" t="s">
        <v>79</v>
      </c>
      <c r="D75" s="36">
        <v>147753</v>
      </c>
      <c r="E75" s="45">
        <v>69576</v>
      </c>
      <c r="F75" s="89">
        <v>78177</v>
      </c>
      <c r="G75" s="124" t="s">
        <v>88</v>
      </c>
      <c r="H75" s="124"/>
      <c r="I75" s="124"/>
      <c r="J75" s="125"/>
    </row>
    <row r="76" spans="1:10" x14ac:dyDescent="0.25">
      <c r="A76" t="s">
        <v>59</v>
      </c>
      <c r="B76" s="7" t="s">
        <v>77</v>
      </c>
      <c r="C76" s="33" t="s">
        <v>80</v>
      </c>
      <c r="D76" s="37">
        <v>90543</v>
      </c>
      <c r="E76" s="46">
        <v>74378</v>
      </c>
      <c r="F76" s="90">
        <v>16165</v>
      </c>
      <c r="G76" s="127"/>
      <c r="H76" s="127"/>
      <c r="I76" s="127"/>
      <c r="J76" s="128"/>
    </row>
    <row r="77" spans="1:10" ht="15.75" thickBot="1" x14ac:dyDescent="0.3">
      <c r="B77" s="11" t="s">
        <v>78</v>
      </c>
      <c r="C77" s="34" t="s">
        <v>81</v>
      </c>
      <c r="D77" s="38">
        <v>81703</v>
      </c>
      <c r="E77" s="47">
        <v>46246</v>
      </c>
      <c r="F77" s="91">
        <v>35457</v>
      </c>
      <c r="G77" s="130"/>
      <c r="H77" s="130"/>
      <c r="I77" s="130"/>
      <c r="J77" s="131"/>
    </row>
  </sheetData>
  <mergeCells count="13">
    <mergeCell ref="G75:J77"/>
    <mergeCell ref="A60:A62"/>
    <mergeCell ref="A66:A68"/>
    <mergeCell ref="A41:A45"/>
    <mergeCell ref="A49:A53"/>
    <mergeCell ref="A33:A37"/>
    <mergeCell ref="A27:A29"/>
    <mergeCell ref="G48:J50"/>
    <mergeCell ref="G40:J42"/>
    <mergeCell ref="A70:A72"/>
    <mergeCell ref="G51:J53"/>
    <mergeCell ref="G43:J45"/>
    <mergeCell ref="G70:J7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EA22-7144-4680-B352-C0D0A4FBCBF3}">
  <sheetPr codeName="Sheet2"/>
  <dimension ref="B3:G11"/>
  <sheetViews>
    <sheetView workbookViewId="0">
      <selection activeCell="K13" sqref="K13"/>
    </sheetView>
  </sheetViews>
  <sheetFormatPr defaultRowHeight="15" x14ac:dyDescent="0.25"/>
  <sheetData>
    <row r="3" spans="2:7" ht="15.75" thickBot="1" x14ac:dyDescent="0.3"/>
    <row r="4" spans="2:7" x14ac:dyDescent="0.25">
      <c r="B4" s="8"/>
      <c r="C4" s="9"/>
      <c r="D4" s="9"/>
      <c r="E4" s="9"/>
      <c r="F4" s="9"/>
      <c r="G4" s="32"/>
    </row>
    <row r="5" spans="2:7" x14ac:dyDescent="0.25">
      <c r="B5" s="7"/>
      <c r="C5" s="5"/>
      <c r="D5" s="5"/>
      <c r="E5" s="5"/>
      <c r="F5" s="5"/>
      <c r="G5" s="33"/>
    </row>
    <row r="6" spans="2:7" x14ac:dyDescent="0.25">
      <c r="B6" s="7"/>
      <c r="C6" s="5"/>
      <c r="D6" s="5"/>
      <c r="E6" s="5"/>
      <c r="F6" s="5"/>
      <c r="G6" s="33"/>
    </row>
    <row r="7" spans="2:7" x14ac:dyDescent="0.25">
      <c r="B7" s="7"/>
      <c r="C7" s="5"/>
      <c r="D7" s="5"/>
      <c r="E7" s="5"/>
      <c r="F7" s="5"/>
      <c r="G7" s="33"/>
    </row>
    <row r="8" spans="2:7" x14ac:dyDescent="0.25">
      <c r="B8" s="7"/>
      <c r="C8" s="5"/>
      <c r="D8" s="5"/>
      <c r="E8" s="5"/>
      <c r="F8" s="5"/>
      <c r="G8" s="33"/>
    </row>
    <row r="9" spans="2:7" x14ac:dyDescent="0.25">
      <c r="B9" s="7"/>
      <c r="C9" s="5"/>
      <c r="D9" s="5"/>
      <c r="E9" s="5"/>
      <c r="F9" s="5"/>
      <c r="G9" s="33"/>
    </row>
    <row r="10" spans="2:7" x14ac:dyDescent="0.25">
      <c r="B10" s="7"/>
      <c r="C10" s="5"/>
      <c r="D10" s="5"/>
      <c r="E10" s="5"/>
      <c r="F10" s="5"/>
      <c r="G10" s="33"/>
    </row>
    <row r="11" spans="2:7" ht="15.75" thickBot="1" x14ac:dyDescent="0.3">
      <c r="B11" s="11"/>
      <c r="C11" s="12"/>
      <c r="D11" s="12"/>
      <c r="E11" s="12"/>
      <c r="F11" s="12"/>
      <c r="G11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DDD0B06D8424CA18FEBB157C08C6A" ma:contentTypeVersion="15" ma:contentTypeDescription="Create a new document." ma:contentTypeScope="" ma:versionID="eb7e44993af29b53db42be420563b9cf">
  <xsd:schema xmlns:xsd="http://www.w3.org/2001/XMLSchema" xmlns:xs="http://www.w3.org/2001/XMLSchema" xmlns:p="http://schemas.microsoft.com/office/2006/metadata/properties" xmlns:ns3="f057443a-8a80-42dc-8d04-8017ca843842" xmlns:ns4="eb683fab-7ff8-49fa-87dd-7532b92ecdd6" targetNamespace="http://schemas.microsoft.com/office/2006/metadata/properties" ma:root="true" ma:fieldsID="3c9b77554807a006040f32d837f0568c" ns3:_="" ns4:_="">
    <xsd:import namespace="f057443a-8a80-42dc-8d04-8017ca843842"/>
    <xsd:import namespace="eb683fab-7ff8-49fa-87dd-7532b92ecd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7443a-8a80-42dc-8d04-8017ca8438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83fab-7ff8-49fa-87dd-7532b92ecd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57443a-8a80-42dc-8d04-8017ca8438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95E8C3-DFD8-4406-BA3A-CF535FF9CF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7443a-8a80-42dc-8d04-8017ca843842"/>
    <ds:schemaRef ds:uri="eb683fab-7ff8-49fa-87dd-7532b92ecd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D6E94B-EEB2-49CC-92FF-92ADAB13EB4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eb683fab-7ff8-49fa-87dd-7532b92ecdd6"/>
    <ds:schemaRef ds:uri="http://schemas.openxmlformats.org/package/2006/metadata/core-properties"/>
    <ds:schemaRef ds:uri="f057443a-8a80-42dc-8d04-8017ca84384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2501DF-1960-4483-A5CA-02DA27FAD3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CPRD cohorts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Pate, Virginia</dc:creator>
  <cp:lastModifiedBy>Wang, Jeanny</cp:lastModifiedBy>
  <dcterms:created xsi:type="dcterms:W3CDTF">2024-05-30T11:57:26Z</dcterms:created>
  <dcterms:modified xsi:type="dcterms:W3CDTF">2024-12-17T20:11:51Z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0x0101002F4DDD0B06D8424CA18FEBB157C08C6A</vt:lpwstr>
  </property>
</Properties>
</file>