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https://adminliveunc-my.sharepoint.com/personal/jewa_ad_unc_edu/Documents/RAship/DPP4i_CPRD/analysis/code/RnR_programs/"/>
    </mc:Choice>
  </mc:AlternateContent>
  <xr:revisionPtr revIDLastSave="1275" documentId="8_{25EC32FC-8ACF-44E2-B0C2-45F1014F8688}" xr6:coauthVersionLast="47" xr6:coauthVersionMax="47" xr10:uidLastSave="{581057B4-11AF-4618-B0D3-ECD2B0656654}"/>
  <bookViews>
    <workbookView xWindow="22932" yWindow="-108" windowWidth="23256" windowHeight="12720" firstSheet="1" activeTab="7" xr2:uid="{B0C39956-A529-4AF1-9DD7-120B590F9280}"/>
  </bookViews>
  <sheets>
    <sheet name="TablesFigures" sheetId="5" r:id="rId1"/>
    <sheet name="MainTable4" sheetId="12" r:id="rId2"/>
    <sheet name="Organization" sheetId="3" r:id="rId3"/>
    <sheet name="Datasets" sheetId="4" r:id="rId4"/>
    <sheet name="Table 4" sheetId="1" state="hidden" r:id="rId5"/>
    <sheet name="WebTable4" sheetId="13" r:id="rId6"/>
    <sheet name="Table2_Notrim" sheetId="7" r:id="rId7"/>
    <sheet name="Webtable1" sheetId="6" r:id="rId8"/>
    <sheet name="Webtable2" sheetId="9" r:id="rId9"/>
    <sheet name="WebTable3" sheetId="10" r:id="rId10"/>
    <sheet name="Sheet4" sheetId="11" r:id="rId11"/>
    <sheet name="Sheet2" sheetId="2" r:id="rId12"/>
    <sheet name="Table2trim" sheetId="8" r:id="rId13"/>
  </sheets>
  <definedNames>
    <definedName name="IDX" localSheetId="6">Table2_Notrim!#REF!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6" l="1"/>
  <c r="H1" i="6"/>
  <c r="F3" i="7"/>
  <c r="I1" i="10"/>
  <c r="J1" i="9"/>
  <c r="N45" i="4"/>
  <c r="M45" i="4"/>
  <c r="L45" i="4"/>
  <c r="N44" i="4"/>
  <c r="M44" i="4"/>
  <c r="L44" i="4"/>
  <c r="N43" i="4"/>
  <c r="M43" i="4"/>
  <c r="L43" i="4"/>
  <c r="N42" i="4"/>
  <c r="M42" i="4"/>
  <c r="L42" i="4"/>
  <c r="N41" i="4"/>
  <c r="M41" i="4"/>
  <c r="L41" i="4"/>
  <c r="N40" i="4"/>
  <c r="M40" i="4"/>
  <c r="L40" i="4"/>
  <c r="N37" i="4"/>
  <c r="M37" i="4"/>
  <c r="L37" i="4"/>
  <c r="N36" i="4"/>
  <c r="M36" i="4"/>
  <c r="L36" i="4"/>
  <c r="N35" i="4"/>
  <c r="M35" i="4"/>
  <c r="L35" i="4"/>
  <c r="N34" i="4"/>
  <c r="M34" i="4"/>
  <c r="L34" i="4"/>
  <c r="N33" i="4"/>
  <c r="M33" i="4"/>
  <c r="L33" i="4"/>
  <c r="N32" i="4"/>
  <c r="M32" i="4"/>
  <c r="L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jwan</author>
  </authors>
  <commentList>
    <comment ref="F11" authorId="0" shapeId="0" xr:uid="{3057F4A7-48A3-497B-831F-E6AEF2310BDD}">
      <text>
        <r>
          <rPr>
            <b/>
            <sz val="9"/>
            <color indexed="81"/>
            <rFont val="Tahoma"/>
            <family val="2"/>
          </rPr>
          <t>jwan:</t>
        </r>
        <r>
          <rPr>
            <sz val="9"/>
            <color indexed="81"/>
            <rFont val="Tahoma"/>
            <family val="2"/>
          </rPr>
          <t xml:space="preserve">
switcher=2</t>
        </r>
      </text>
    </comment>
    <comment ref="C12" authorId="0" shapeId="0" xr:uid="{678BAB6C-304B-42C6-A245-CFF8187EA675}">
      <text>
        <r>
          <rPr>
            <b/>
            <sz val="9"/>
            <color indexed="81"/>
            <rFont val="Tahoma"/>
            <family val="2"/>
          </rPr>
          <t>jwan:</t>
        </r>
        <r>
          <rPr>
            <sz val="9"/>
            <color indexed="81"/>
            <rFont val="Tahoma"/>
            <family val="2"/>
          </rPr>
          <t xml:space="preserve">
switcher=1</t>
        </r>
      </text>
    </comment>
    <comment ref="C13" authorId="0" shapeId="0" xr:uid="{39F2B3F2-2EB3-404D-8D29-B1EEB7A9C9EB}">
      <text>
        <r>
          <rPr>
            <b/>
            <sz val="9"/>
            <color indexed="81"/>
            <rFont val="Tahoma"/>
            <family val="2"/>
          </rPr>
          <t>jwan:</t>
        </r>
        <r>
          <rPr>
            <sz val="9"/>
            <color indexed="81"/>
            <rFont val="Tahoma"/>
            <family val="2"/>
          </rPr>
          <t xml:space="preserve">
switcher=0</t>
        </r>
      </text>
    </comment>
    <comment ref="F13" authorId="0" shapeId="0" xr:uid="{736796A8-66FA-49C6-9975-E3DE0A89F376}">
      <text>
        <r>
          <rPr>
            <b/>
            <sz val="9"/>
            <color indexed="81"/>
            <rFont val="Tahoma"/>
            <family val="2"/>
          </rPr>
          <t>jwan:</t>
        </r>
        <r>
          <rPr>
            <sz val="9"/>
            <color indexed="81"/>
            <rFont val="Tahoma"/>
            <family val="2"/>
          </rPr>
          <t xml:space="preserve">
switcher=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tc={F0392EF2-BD6A-4CF6-85D1-71DF8E774435}</author>
    <author>tc={56CFFA68-6B5F-4A99-A573-EA746134FF8A}</author>
    <author>tc={45F9D0F7-C612-4F61-9ADF-4A7CBD15C086}</author>
    <author>tc={6B5A309B-DEFD-4F60-B3EA-484AA4D0C887}</author>
  </authors>
  <commentList>
    <comment ref="G12" authorId="0" shapeId="0" xr:uid="{F0392EF2-BD6A-4CF6-85D1-71DF8E774435}">
      <text>
        <t>[Threaded comment]
Your version of Excel allows you to read this threaded comment; however, any edits to it will get removed if the file is opened in a newer version of Excel. Learn more: https://go.microsoft.com/fwlink/?linkid=870924
Comment:
    dpp4i=0 and switcher=1</t>
      </text>
    </comment>
    <comment ref="C13" authorId="1" shapeId="0" xr:uid="{56CFFA68-6B5F-4A99-A573-EA746134FF8A}">
      <text>
        <t>[Threaded comment]
Your version of Excel allows you to read this threaded comment; however, any edits to it will get removed if the file is opened in a newer version of Excel. Learn more: https://go.microsoft.com/fwlink/?linkid=870924
Comment:
    dpp4i=1 and switcher=1</t>
      </text>
    </comment>
    <comment ref="C14" authorId="2" shapeId="0" xr:uid="{45F9D0F7-C612-4F61-9ADF-4A7CBD15C086}">
      <text>
        <t>[Threaded comment]
Your version of Excel allows you to read this threaded comment; however, any edits to it will get removed if the file is opened in a newer version of Excel. Learn more: https://go.microsoft.com/fwlink/?linkid=870924
Comment:
    Dpp4i=1 and switcher=0</t>
      </text>
    </comment>
    <comment ref="G14" authorId="3" shapeId="0" xr:uid="{6B5A309B-DEFD-4F60-B3EA-484AA4D0C887}">
      <text>
        <t>[Threaded comment]
Your version of Excel allows you to read this threaded comment; however, any edits to it will get removed if the file is opened in a newer version of Excel. Learn more: https://go.microsoft.com/fwlink/?linkid=870924
Comment:
    Dpp4i=0 and switcher=0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jwan</author>
  </authors>
  <commentList>
    <comment ref="H4" authorId="0" shapeId="0" xr:uid="{4925CBB3-E78A-44CD-ACDD-581DCC2BCF0D}">
      <text>
        <r>
          <rPr>
            <b/>
            <sz val="9"/>
            <color indexed="81"/>
            <rFont val="Tahoma"/>
            <family val="2"/>
          </rPr>
          <t>jwan:</t>
        </r>
        <r>
          <rPr>
            <sz val="9"/>
            <color indexed="81"/>
            <rFont val="Tahoma"/>
            <family val="2"/>
          </rPr>
          <t xml:space="preserve">
NEED to exclude before 2012
</t>
        </r>
      </text>
    </comment>
  </commentList>
</comments>
</file>

<file path=xl/sharedStrings.xml><?xml version="1.0" encoding="utf-8"?>
<sst xmlns="http://schemas.openxmlformats.org/spreadsheetml/2006/main" count="4569" uniqueCount="2526">
  <si>
    <t xml:space="preserve">Total </t>
  </si>
  <si>
    <t xml:space="preserve">Time-varying analysis (biased asymetrical) </t>
  </si>
  <si>
    <t>ACNU, IT</t>
  </si>
  <si>
    <t xml:space="preserve">IBD cases </t>
  </si>
  <si>
    <t xml:space="preserve">Person-years </t>
  </si>
  <si>
    <t xml:space="preserve">DPP4i users </t>
  </si>
  <si>
    <t xml:space="preserve">Comparator users(ie, SU) </t>
  </si>
  <si>
    <t>At-risk person time among those who switched from Comparator to DPP4i</t>
  </si>
  <si>
    <t xml:space="preserve">At-risk person-time attributed to the comparator group </t>
  </si>
  <si>
    <t xml:space="preserve">At-risk person-time attributed to DPP4i </t>
  </si>
  <si>
    <t xml:space="preserve">At-risk person-time among non-switchers </t>
  </si>
  <si>
    <t>Rate per 100,000 py</t>
  </si>
  <si>
    <t>52.6 (43.1-64.3)</t>
  </si>
  <si>
    <t>49.5 (42.8-57.3)</t>
  </si>
  <si>
    <t>At-risk person time among Switchers (among those who switched from Comparator to DPP4i)</t>
  </si>
  <si>
    <t>+ X cases</t>
  </si>
  <si>
    <t>96+X cases</t>
  </si>
  <si>
    <t>- XX persontime</t>
  </si>
  <si>
    <t>-X cases</t>
  </si>
  <si>
    <t>+XX persontime</t>
  </si>
  <si>
    <t>At-risk person-time in ACNU, IT</t>
  </si>
  <si>
    <t>182461+XX persontime</t>
  </si>
  <si>
    <t>lower rate</t>
  </si>
  <si>
    <t xml:space="preserve">higher rate </t>
  </si>
  <si>
    <t>Y cases</t>
  </si>
  <si>
    <t>YY persontime</t>
  </si>
  <si>
    <t>Z cases</t>
  </si>
  <si>
    <t xml:space="preserve">ZZ persontime </t>
  </si>
  <si>
    <t>363438- XX persontime</t>
  </si>
  <si>
    <t xml:space="preserve"> '180-X cases</t>
  </si>
  <si>
    <t>Line</t>
  </si>
  <si>
    <t>Reviewer comment</t>
  </si>
  <si>
    <t xml:space="preserve">For what manuscript part/Table or Figure </t>
  </si>
  <si>
    <t>Which dataset</t>
  </si>
  <si>
    <t xml:space="preserve">SAS Program </t>
  </si>
  <si>
    <t>Type</t>
  </si>
  <si>
    <t>Supplement</t>
  </si>
  <si>
    <t>Reviewer 1, Page 3</t>
  </si>
  <si>
    <r>
      <t xml:space="preserve">Key patient characteristics between initiators of Dipeptidyl Peptidase-4 inhibitors (DPP4i) and comparators propensity score weighted cohorts </t>
    </r>
    <r>
      <rPr>
        <b/>
        <sz val="12"/>
        <color rgb="FF000000"/>
        <rFont val="Calibri"/>
        <family val="2"/>
      </rPr>
      <t>using multiple imputation for variables with missing data including HbA1c, BMI, and smoking</t>
    </r>
  </si>
  <si>
    <t>Comparison of results between different study designs on the effect of Dipeptidyl Peptidase-4 inhibitors (DPP4i) on risk of Inflammatory Bowel Disease (IBD) compared with antidiabetic alternatives (SU, TZD, and SGLT2i), with multiple imputation for missing HbA1c, BMI, and smokin</t>
  </si>
  <si>
    <t xml:space="preserve">Main </t>
  </si>
  <si>
    <t xml:space="preserve">Status </t>
  </si>
  <si>
    <t>Web Table 17</t>
  </si>
  <si>
    <t>Web Table 18</t>
  </si>
  <si>
    <t>Table 4 and Figure X</t>
  </si>
  <si>
    <t>(Suissa mock-table and some Figure X) Comparison between (ACNU, ITT) and asymmetric TVE (time-varying analysis) for cohort study of DPP4i and inflammatory bowel disease incidence</t>
  </si>
  <si>
    <t xml:space="preserve">Web Table 9 </t>
  </si>
  <si>
    <t xml:space="preserve">Web table 10 </t>
  </si>
  <si>
    <t>Comparison of results between different study designs on the effect of DPP4i on risk of IBD compared with antidiabetic alternatives in propensity score trimmed cohorts</t>
  </si>
  <si>
    <t>patient characteristics of cohorts</t>
  </si>
  <si>
    <t>Web Table 6</t>
  </si>
  <si>
    <t>Comparison of results between different study designs on the effect of DPP4i on risk of IBD compared with antidiabetic alternatives in propensity score trimmed cohorts including individuals with a prevalent diagnosis of IBD after switching in the TVE design</t>
  </si>
  <si>
    <t>Figure 4</t>
  </si>
  <si>
    <t>Increase maximum follow-up to 9 years</t>
  </si>
  <si>
    <t>Reviewer 1, page 12</t>
  </si>
  <si>
    <t>Web Table 12</t>
  </si>
  <si>
    <t>Comparison of results between different study designs on the effect of DPP4i on risk of IBD compared with antidiabetic alternatives in cohorts requiring only one study drug prescription</t>
  </si>
  <si>
    <t>Web Table 15</t>
  </si>
  <si>
    <t>Comparison of results between different study designs on the effect of DPP4i on risk of IBD compared with antidiabetic alternatives restricting cohort entry year to 2007-2016</t>
  </si>
  <si>
    <t>Table 2</t>
  </si>
  <si>
    <t>hown the distribution of glucose lowering drugs between DPP4i and comparator groups</t>
  </si>
  <si>
    <t>compare the clinical features of switchers and non-switchers in the DPP4i group in each comparison. The head row is shown below</t>
  </si>
  <si>
    <t>Web Table 4</t>
  </si>
  <si>
    <t>Figure 5</t>
  </si>
  <si>
    <t>Reviewer 1, Page 8 AND Reviewer 2, page 17</t>
  </si>
  <si>
    <t>Sensitivity Analysis</t>
  </si>
  <si>
    <t>Reviewer 2 Page 18</t>
  </si>
  <si>
    <t>Web Table 16</t>
  </si>
  <si>
    <t>Comparison of results between different study designs on the effect of DPP4i on risk of IBD compared with antidiabetic alternatives (SU, TZD, and SGLT2i) with extended censoring criteria, which includes stopping or adding a comparator drug or starting non-comparator drugs (SU, TZD, and SGLT2i).</t>
  </si>
  <si>
    <t>Forest plot summarizing results of primary and sensitivity analyses. Panel A, B, C shows forest plot summarizing aHRs across various analyses comparing DPP4i to SU, TZD, and SGLT2i, respectively, under the ACNU design; panel D, E, F s shows forest plot summarizing aHRs across various analyses comparing DPP4i to SU, TZD, and SGLT2i, respectively, under the TVE design.</t>
  </si>
  <si>
    <t>Reviewer 2, Page 26</t>
  </si>
  <si>
    <t>Reviewer 2, Page 24</t>
  </si>
  <si>
    <r>
      <t xml:space="preserve"> median times between the first prescription and the second prescription by DPP4i and each respective comparator drug, for ACNU and TVE design, in the 1</t>
    </r>
    <r>
      <rPr>
        <b/>
        <vertAlign val="superscript"/>
        <sz val="11"/>
        <color rgb="FF201F1E"/>
        <rFont val="Calibri"/>
        <family val="2"/>
      </rPr>
      <t>st</t>
    </r>
    <r>
      <rPr>
        <b/>
        <sz val="11"/>
        <color rgb="FF201F1E"/>
        <rFont val="Calibri"/>
        <family val="2"/>
      </rPr>
      <t xml:space="preserve"> paragraph (for ACNU cohort) of RESULTS &gt; Population section.</t>
    </r>
  </si>
  <si>
    <t xml:space="preserve">No table, add numbers to the Results paragraph </t>
  </si>
  <si>
    <t xml:space="preserve">Sensitivity Analysis </t>
  </si>
  <si>
    <t xml:space="preserve">1) inclusion of individuals with a prevalent diagnosis of IBD after switching in the TVE design; </t>
  </si>
  <si>
    <t xml:space="preserve">2) limiting follow-up to a maximum of 3-years; </t>
  </si>
  <si>
    <t xml:space="preserve">3) conducted analyses with PS trimming; </t>
  </si>
  <si>
    <t xml:space="preserve">4) we required only one prescription to define exposure, with follow-up for IBD starting 180 days after the first prescription; </t>
  </si>
  <si>
    <t xml:space="preserve">5) used conventional multivariable-adjusted Cox regression instead of PS-weighted Cox regression; </t>
  </si>
  <si>
    <t xml:space="preserve">6) restricted the cohort entry to January 1, 2007 to December 31, 2016; </t>
  </si>
  <si>
    <t xml:space="preserve">7) extended censoring criteria in as-treated ACNU analyses to include patients starting SU, TZD, or SGLT2i (for non-comparator drug) during follow-up; </t>
  </si>
  <si>
    <t>8) performed multiple imputation for missing data of HbA1c, BMI, and smoking.</t>
  </si>
  <si>
    <t xml:space="preserve">Main Analysis </t>
  </si>
  <si>
    <t>Untrimmed Cohort T1</t>
  </si>
  <si>
    <t xml:space="preserve">Untrimmed Cohort results </t>
  </si>
  <si>
    <t xml:space="preserve">Untrimmed cohort KM with 9 years followup </t>
  </si>
  <si>
    <t xml:space="preserve">Description </t>
  </si>
  <si>
    <t>Category</t>
  </si>
  <si>
    <t xml:space="preserve">Name of Output </t>
  </si>
  <si>
    <t xml:space="preserve">Untrimmed </t>
  </si>
  <si>
    <t>Untrimmed</t>
  </si>
  <si>
    <t>Trimmed</t>
  </si>
  <si>
    <t>Update study flow chart</t>
  </si>
  <si>
    <t>Program</t>
  </si>
  <si>
    <t>Input</t>
  </si>
  <si>
    <t>Output</t>
  </si>
  <si>
    <t>10_readdata.sas</t>
  </si>
  <si>
    <t>CSV Files - Events</t>
  </si>
  <si>
    <t>RAW.DPP4I_EVENT</t>
  </si>
  <si>
    <t>RAW.TZD_EVENT</t>
  </si>
  <si>
    <t>RAW.SU_EVENT</t>
  </si>
  <si>
    <t>RAW.SGLT2I_EVENT</t>
  </si>
  <si>
    <t>CSV Files - Treatment</t>
  </si>
  <si>
    <t>RAW.DPP4I_TRTMT</t>
  </si>
  <si>
    <t>RAW.TZD_TRTMT</t>
  </si>
  <si>
    <t>RAW.SU_TRTMT</t>
  </si>
  <si>
    <t>RAW.SGLT2I_TRTMT</t>
  </si>
  <si>
    <t>11_cleandata.sas</t>
  </si>
  <si>
    <t>TEMP.DPP4I_EVENTWIDE</t>
  </si>
  <si>
    <t>TEMP.DPP4I_USEPERIODS</t>
  </si>
  <si>
    <t>TEMP.DPP4I_DEMOG</t>
  </si>
  <si>
    <t>TEMP.SU_EVENTWIDE</t>
  </si>
  <si>
    <t>TEMP.SU_USEPERIODS</t>
  </si>
  <si>
    <t>TEMP.SU_DEMOG</t>
  </si>
  <si>
    <t>TEMP.TZD_EVENTWIDE</t>
  </si>
  <si>
    <t>TEMP.TZD_USEPERIODS</t>
  </si>
  <si>
    <t>TEMP.TZD_DEMOG</t>
  </si>
  <si>
    <t>TEMP.SGLT2I_EVENTWIDE</t>
  </si>
  <si>
    <t>TEMP.SGLT2I_USEPERIODS</t>
  </si>
  <si>
    <t>TEMP.SGLT2I_DEMOG</t>
  </si>
  <si>
    <t>DPP4I</t>
  </si>
  <si>
    <t>comparator</t>
  </si>
  <si>
    <t>12_createcohorts.sas</t>
  </si>
  <si>
    <t>TEMP.NEWUSERS_DPP4I_SU</t>
  </si>
  <si>
    <t>(determine new users)</t>
  </si>
  <si>
    <t>TEMP.NEWUSERS_DPP4I_TZD</t>
  </si>
  <si>
    <t>TEMP.NEWUSERS_DPP4I_SGLT2I</t>
  </si>
  <si>
    <t>WHERE EXCLUDEFLAG_PREVALENTUSER=0</t>
  </si>
  <si>
    <t>% RETAINED AFTER PREVALENT USER RESTRICTION</t>
  </si>
  <si>
    <t>13_merge.sas</t>
  </si>
  <si>
    <t>TEMP.NEWUSERS_DPP4I_xxx</t>
  </si>
  <si>
    <t>TEMP.ALLMERGED_DPP4I_SU</t>
  </si>
  <si>
    <t>(restrict to first period of use)</t>
  </si>
  <si>
    <t>TEMP.xxx_DEMOG</t>
  </si>
  <si>
    <t>TEMP.ALLMERGED_DPP4I_TZD</t>
  </si>
  <si>
    <t>TEMP.xxx_EVENTSIDE</t>
  </si>
  <si>
    <t>TEMP.ALLMERGED_DPP4I_SGLT2I</t>
  </si>
  <si>
    <t>TEMP.ALLMERGED_DPP4I_SU_1YRLB</t>
  </si>
  <si>
    <t>TEMP.ALLMERGED_DPP4I_TZD_1YRLB</t>
  </si>
  <si>
    <t>TEMP.ALLMERGED_DPPRI_SGLT2I_1YRLB</t>
  </si>
  <si>
    <t>% RETAINED AFTER ADDITIONAL EXCLUSION CRITERIA</t>
  </si>
  <si>
    <t>14_createanalysis.sas</t>
  </si>
  <si>
    <t>A.ALLMERGED_DPP4I_SU</t>
  </si>
  <si>
    <t>obsolete (excluded for any prior (aalb) use of compatator drug)</t>
  </si>
  <si>
    <t>(additional exclusion criteria = prevalent user, same day switcher, only 1 fill, BL IBD, etc)</t>
  </si>
  <si>
    <t>A.ALLMERGED_DPP4I_TZD</t>
  </si>
  <si>
    <t>A.ALLMERGED_DPP4I_SGLT2I</t>
  </si>
  <si>
    <t>A.ALLMERGED_DPP4I_SU_1YRLB</t>
  </si>
  <si>
    <r>
      <t xml:space="preserve">Table 1 (appendix, ACNU untrimmed) - </t>
    </r>
    <r>
      <rPr>
        <b/>
        <sz val="11"/>
        <color theme="1"/>
        <rFont val="Aptos Narrow"/>
        <family val="2"/>
        <scheme val="minor"/>
      </rPr>
      <t>added 6/5</t>
    </r>
  </si>
  <si>
    <t>A.ALLMERGED_DPP4I_TZD_1YRLB</t>
  </si>
  <si>
    <t>TEMP.ALLMERGED_DPP4I_SGLT2I_1YRLB</t>
  </si>
  <si>
    <t>A.ALLMERGED_DPP4_SGLT2I_1YRLB</t>
  </si>
  <si>
    <t>15_psweighting.sas</t>
  </si>
  <si>
    <t>A.PS_DPP4I_SU</t>
  </si>
  <si>
    <t xml:space="preserve">obsolete (excluded for any prior (aalb) use of compatator drug) </t>
  </si>
  <si>
    <t>(trimming implemented)</t>
  </si>
  <si>
    <t>A.PS_DPP4I_TZD</t>
  </si>
  <si>
    <t>A.PS_DPP4I_SGLT2I</t>
  </si>
  <si>
    <t>A.PS_DPP4I_SU_1YRLB</t>
  </si>
  <si>
    <t>Table 1 (manuscript) - 5/22 output</t>
  </si>
  <si>
    <t>A.PS_DPP4I_TZD_1YRLB</t>
  </si>
  <si>
    <t>A.PS_DPP4I_SGLT2I_1YRLB</t>
  </si>
  <si>
    <t>16_runanalysis.sas</t>
  </si>
  <si>
    <t>17_dependencies.sas</t>
  </si>
  <si>
    <t>%getCohort_ab() - restrict to first use period</t>
  </si>
  <si>
    <t>TEMP.xxx_USEPERIODS</t>
  </si>
  <si>
    <t>TEMP.ABRAHAMI_DPP4I_SU</t>
  </si>
  <si>
    <t>TEMP.ABRAHAMI_DPP4I_TZD</t>
  </si>
  <si>
    <t>TEMP.ABRAHAMI_DPP4I_SGLT2I</t>
  </si>
  <si>
    <t xml:space="preserve">%mergeall_ab() - </t>
  </si>
  <si>
    <t>TEMP.ABRAHAMI_DPP4I_xxx</t>
  </si>
  <si>
    <t>TEMP.ABRAHAMI_ALLMERGED_DPP4I_SU</t>
  </si>
  <si>
    <t>TEMP.ABRAHAMI_ALLMERGED_DPP4I_TZD</t>
  </si>
  <si>
    <t>TEMP.xxxx_EVENTWIDE</t>
  </si>
  <si>
    <t>TEMP.ABRAHAMI_ALLMERGED_DPP4I_SGLT2I</t>
  </si>
  <si>
    <t>A.ABRAHAMI_ALLMERGED_DPP4I_SU</t>
  </si>
  <si>
    <r>
      <t xml:space="preserve">Table 1 (appendix, Abrahami untrimmed) - </t>
    </r>
    <r>
      <rPr>
        <b/>
        <sz val="11"/>
        <color theme="1"/>
        <rFont val="Aptos Narrow"/>
        <family val="2"/>
        <scheme val="minor"/>
      </rPr>
      <t>added 6/5 (dated 5/30)</t>
    </r>
  </si>
  <si>
    <t>A.ABRAHAMI_ALLMERGED_DPP4I_TZD</t>
  </si>
  <si>
    <t>A.ABRAHAMI_ALLMERGED_DPP4I_SGLT2I</t>
  </si>
  <si>
    <t>A.ABRAHAMI_PS_DPP4I_SU</t>
  </si>
  <si>
    <r>
      <t xml:space="preserve">Table 1 (manuscript) - </t>
    </r>
    <r>
      <rPr>
        <b/>
        <sz val="11"/>
        <color theme="1"/>
        <rFont val="Aptos Narrow"/>
        <family val="2"/>
        <scheme val="minor"/>
      </rPr>
      <t>to be added</t>
    </r>
  </si>
  <si>
    <t>A.ABRAHAMI_PS_DPP4I_TZD</t>
  </si>
  <si>
    <t>A.ABRAHAMI_PS_DPP4I_SGLT2I</t>
  </si>
  <si>
    <t>&lt;-this is now the sensitivity analysis</t>
  </si>
  <si>
    <t xml:space="preserve">&lt;- this is now the primary analysis </t>
  </si>
  <si>
    <t xml:space="preserve">Supply univariate time between first and second Rx </t>
  </si>
  <si>
    <t>Untrimmed Cohort T2 (population characteristics)</t>
  </si>
  <si>
    <t>RnR_MainACNU_Notrim_IT_&amp;todaysdate..rtf</t>
  </si>
  <si>
    <t>RnR_MainACNU_Notrim__AT_&amp;todaysdate..rtf</t>
  </si>
  <si>
    <t>&amp;include_ibd. eq Y</t>
  </si>
  <si>
    <t>a.Abrahami_Notrim_&amp;exposure._&amp;comparator.</t>
  </si>
  <si>
    <t>a.notrim_&amp;exposure._&amp;comparator._1yrlb</t>
  </si>
  <si>
    <t>RnR_MainACNU_Notrim_&amp;todaysdate..xlsx</t>
  </si>
  <si>
    <t>RnR_MainSe1TVE_IT_Notrim_&amp;todaysdate..rtf</t>
  </si>
  <si>
    <t>RnR_MainSe1TVE_IT_Notrim_&amp;todaysdate..xlsx</t>
  </si>
  <si>
    <t>RnR_MainSe1TVE_Notrim_IT_&amp;todaysdate..rtf</t>
  </si>
  <si>
    <t>RnR_MainSe1TVE_Notrim_IT_&amp;todaysdate..xlsx</t>
  </si>
  <si>
    <t>RnR_MainSe1TVE_Notrim_AT_&amp;todaysdate..xlsx</t>
  </si>
  <si>
    <t>RnR_Se2_ACNU3yrNotrim_&amp;todaysdate..xlsx</t>
  </si>
  <si>
    <t>RnR_Se2_ACNU3yrNotrim_mITac3_&amp;todaysdate..rtf</t>
  </si>
  <si>
    <t>RnR_Se2_TVE3yrNotrim_IT_&amp;todaysdate..xlsx</t>
  </si>
  <si>
    <t>RnR_Se2_TVE3yrNotrim_IT_&amp;todaysdate..rtf</t>
  </si>
  <si>
    <t>RnR_Se2_TVE3yrNotrim_AT_&amp;todaysdate..xlsx</t>
  </si>
  <si>
    <t xml:space="preserve">Data </t>
  </si>
  <si>
    <t xml:space="preserve">*requires writing another program </t>
  </si>
  <si>
    <t xml:space="preserve">SAS program </t>
  </si>
  <si>
    <t>wKM_&amp;ana_name._&amp;exposure.v&amp;comparator._%sysfunc(date(),date.)</t>
  </si>
  <si>
    <t>        D:\Externe Projekte\UNC\wangje\out\tables</t>
  </si>
  <si>
    <t>        D:\Externe Projekte\UNC\wangje\out\figures</t>
  </si>
  <si>
    <t>mIT3exIBtv</t>
  </si>
  <si>
    <t>mITexIBtv</t>
  </si>
  <si>
    <t>mATtv</t>
  </si>
  <si>
    <t>mITac</t>
  </si>
  <si>
    <t>mITac3</t>
  </si>
  <si>
    <t>mATac</t>
  </si>
  <si>
    <t>mITtv</t>
  </si>
  <si>
    <t>mATac3</t>
  </si>
  <si>
    <t>mIT3tv</t>
  </si>
  <si>
    <t>mATexIBtv</t>
  </si>
  <si>
    <t>mAT3tv</t>
  </si>
  <si>
    <t>mAT3exIBtv</t>
  </si>
  <si>
    <t>Abrahami_&amp;ana_name._psplot_trim_&amp;exposure._&amp;comparator._&amp;todaysdate..tiff</t>
  </si>
  <si>
    <t>Abrahami_&amp;ana_name._psplot_&amp;exposure._&amp;comparator._&amp;todaysdate..tiff</t>
  </si>
  <si>
    <t>18_RnR_MainSe1analysis</t>
  </si>
  <si>
    <t>18_RnR_Se2_3yrout</t>
  </si>
  <si>
    <t>18_RnR_Se3_pstrim</t>
  </si>
  <si>
    <t>&amp;toutPath./ACNU_Table1trim_&amp;exposure._&amp;comparator._&amp;todaysdate..rtf</t>
  </si>
  <si>
    <t>15_RnR_ACNUPSweighting</t>
  </si>
  <si>
    <t>ACNU_&amp;ana_name._psplot_trim_&amp;exposure._&amp;comparator._&amp;todaysdate..tiff</t>
  </si>
  <si>
    <t>&amp;toutPath./ACNU_Table1notrim_&amp;exposure._&amp;comparator._&amp;todaysdate..rtf</t>
  </si>
  <si>
    <t>ACNU_&amp;ana_name._psplot_&amp;exposure._&amp;comparator._&amp;todaysdate..tiff</t>
  </si>
  <si>
    <t>*does this mean analysis population does not exclude anyone without a 2nd Rx?</t>
  </si>
  <si>
    <t>*this is where the diff_1st_2ndrx=filldate2-indexdate is created, checking creation of time between 1st and 2nd rx</t>
  </si>
  <si>
    <t>&lt;- these new Table1s should have a new row for time between 1st and 2nd Rx</t>
  </si>
  <si>
    <t>a.notrim_DPP4i_SU_1yrlb</t>
  </si>
  <si>
    <t>a.notrim_DPP4i_TZD_1yrlb</t>
  </si>
  <si>
    <t>a.notrim_DPP4i_SGLT2i_1yrlb</t>
  </si>
  <si>
    <t>a.Abrahami_notrim_DPP4i_SU</t>
  </si>
  <si>
    <t>a.Abrahami_notrim_DPP4i_TZD</t>
  </si>
  <si>
    <t>a.Abrahami_notrim_DPP4i_SGLT2i</t>
  </si>
  <si>
    <t>No trimming</t>
  </si>
  <si>
    <t>dpp4i=1 and switcher=1</t>
  </si>
  <si>
    <t>dpp4i=0 and switcher=1</t>
  </si>
  <si>
    <t>dpp4i=</t>
  </si>
  <si>
    <t>NONE</t>
  </si>
  <si>
    <t xml:space="preserve">proc mi (5x) </t>
  </si>
  <si>
    <t xml:space="preserve">Manuscript Table </t>
  </si>
  <si>
    <t>Table 2: Key patient characteristics between initiators of Dipeptidyl Peptidase-4 inhibitors (DPP4i) and comparators before propensity score weighting.</t>
  </si>
  <si>
    <t xml:space="preserve">Figure 3. Flowchart for patient selection. Panel A, active-comparator, new-user cohort; Panel B, time-varying exposure cohort. </t>
  </si>
  <si>
    <t>Table 4.  Comparison of counts and person time - MAIN</t>
  </si>
  <si>
    <t xml:space="preserve">Figure 4: Propensity score-standardized mortality ratio (PS-SMR) weighted Kaplan-Meier risk functions of Inflammatory Bowel Disease (IBD). </t>
  </si>
  <si>
    <t xml:space="preserve">Figure 5. Forest plot summarizing results of primary and sensitivity analyses. Panel A, B, C under the ACNU design; panel D, E, F  under the TVE design </t>
  </si>
  <si>
    <t xml:space="preserve">Table 3: Main results Comparison of results between different study designs </t>
  </si>
  <si>
    <t>D:\Externe Projekte\UNC\wangje\prog\sas\R2R_sas</t>
  </si>
  <si>
    <t>Key patient characteristics between DPP4i and SU initiators.</t>
  </si>
  <si>
    <t>Key patient characteristics between Dipeptidyl Peptidase-4 inhibitors (DPP4i) and Thiazolidinediones (TZD) initiators.</t>
  </si>
  <si>
    <t>Key patient characteristics between Dipeptidyl Peptidase-4 inhibitors (DPP4i) and Sodium-glucose cotransporter-2 inhibitor (SGLT2i) initiators in propensity score trimmed cohorts.</t>
  </si>
  <si>
    <t>Key patient characteristics between switchers and non-switchers in Dipeptidyl Peptidase-4 inhibitors (DPP4i) group in each comparison.  </t>
  </si>
  <si>
    <t xml:space="preserve">As-treated analysis in ACNU cohort assessing causal effect of DPP4i on risk of IBD compared with antidiabetic alternatives. </t>
  </si>
  <si>
    <t>Comparison of study designs for the effect of Dipeptidyl Peptidase-4 inhibitors (DPP4i) on risk of Inflammatory Bowel Disease (IBD) compared with antidiabetic alternatives in propensity score trimmed cohorts for a maximum of 3-year follow-up.  </t>
  </si>
  <si>
    <t xml:space="preserve">Key patient characteristics between initiators of DPP4i and comparators propensity score weighted cohort (after propensity score trimming). </t>
  </si>
  <si>
    <t>Comparison of results between different study designs on the effect of DPP4i on risk of IBD compared with antidiabetic alternatives in propensity score trimmed cohorts.    </t>
  </si>
  <si>
    <t xml:space="preserve">Key patient characteristics between initiators of DPP4i and comparators in propensity score weighted cohorts required only one study drug prescription. </t>
  </si>
  <si>
    <t>Comparison of results between different study designs on the effect of DPP4i on risk of IBD compared with antidiabetic alternatives in cohorts only one study drug prescription.    </t>
  </si>
  <si>
    <t xml:space="preserve">Comparison of results between different study designs on the effect of DPP4i on risk of IBD compared with antidiabetic alternatives conventional multivariable-adjusted Cox regression. </t>
  </si>
  <si>
    <t xml:space="preserve">Key patient characteristics between initiators of DPP4i and comparators propensity score weighted cohorts restricting cohort entry year to 2007-2016.   </t>
  </si>
  <si>
    <t xml:space="preserve">Comparison of results between different study designs on the effect of DPP4i on risk of IBD compared with antidiabetic alternatives restricting cohort entry year to 2007-2016. </t>
  </si>
  <si>
    <t xml:space="preserve">Comparison of results between different study designs on the effect of DPP4i on risk of IBD compared with antidiabetic alternatives with extended censoring criteria, which includes stopping or adding a comparator drug or starting non-comparator drugs (SU, TZD, SGLT2i).   </t>
  </si>
  <si>
    <t xml:space="preserve">Key patient characteristics between initiators of DPP4i and comparators in propensity score weighted cohorts using multiple imputation for variables with missing data including HbA1c, BMI, and smoking.   </t>
  </si>
  <si>
    <t>Comparison of results between different study designs on the effect of DPP4i on risk of IBD compared with antidiabetic alternatives, with multiple imputation for missing HbA1c, BMI, and smoking.  </t>
  </si>
  <si>
    <t>Web Table</t>
  </si>
  <si>
    <t xml:space="preserve">Web Figure </t>
  </si>
  <si>
    <t xml:space="preserve">Figure </t>
  </si>
  <si>
    <t xml:space="preserve">Table </t>
  </si>
  <si>
    <t>Type (Main/sensitivity)</t>
  </si>
  <si>
    <t>Tab/Fig</t>
  </si>
  <si>
    <t xml:space="preserve">Num </t>
  </si>
  <si>
    <t xml:space="preserve">Name </t>
  </si>
  <si>
    <t>Analysis number</t>
  </si>
  <si>
    <t>X</t>
  </si>
  <si>
    <t>Main</t>
  </si>
  <si>
    <t>Main and all Sensitivity</t>
  </si>
  <si>
    <t>Sensitivity</t>
  </si>
  <si>
    <t>Name</t>
  </si>
  <si>
    <t>extended censoring criteria</t>
  </si>
  <si>
    <t xml:space="preserve">as treated </t>
  </si>
  <si>
    <t xml:space="preserve"> only one prescription to define exposure</t>
  </si>
  <si>
    <t>multiple imputation for missing data of HbA1c, BMI, and smoking</t>
  </si>
  <si>
    <t>maximum of 3-year follow-up</t>
  </si>
  <si>
    <t>including prevalent IBD</t>
  </si>
  <si>
    <t>switchers vs nonswitchers</t>
  </si>
  <si>
    <t>2007-2016</t>
  </si>
  <si>
    <t xml:space="preserve">DPP4I vs SU </t>
  </si>
  <si>
    <t>DPP4I Vs TZD</t>
  </si>
  <si>
    <t>DPP4i vs SGLT2i</t>
  </si>
  <si>
    <t>Algorithm for active-comparator, new-user study design</t>
  </si>
  <si>
    <t>Propensity score distribution in the ACNU cohorts</t>
  </si>
  <si>
    <t>Propensity score distribution in the TVE cohorts</t>
  </si>
  <si>
    <t>KM maximum of 3-year follow-up</t>
  </si>
  <si>
    <t>Directed acyclic graphs (DAGs)</t>
  </si>
  <si>
    <t>Forest plot summarizing results of primary and sensitivity analyses</t>
  </si>
  <si>
    <t>Propensity score-standardized mortality ratio (PS-SMR) weighted Kaplan-Meier</t>
  </si>
  <si>
    <t>Flowchart for patient selection</t>
  </si>
  <si>
    <t xml:space="preserve">Incident IBD event from switchers and prevalent IBD event after switching in TVE design. </t>
  </si>
  <si>
    <t xml:space="preserve">Study design differences. </t>
  </si>
  <si>
    <t>counts/py Comparison between ACNU and asymmetric TVE</t>
  </si>
  <si>
    <t>Comparison of results between different study designs on the effect of Dipeptidyl Peptidase-4 inhibitors (DPP4i) on risk of Inflammatory Bowel Disease (IBD) compared with antidiabetic alternatives in propensity score trimmed cohorts</t>
  </si>
  <si>
    <t>Key patient characteristics between initiators of Dipeptidyl Peptidase-4 inhibitors (DPP4i) and comparators before propensity score weighting</t>
  </si>
  <si>
    <t>Comparisions for key features of active-comparator, new-user (ACNU) and time-varying exposure (TVE) design</t>
  </si>
  <si>
    <t>pstrimmed analysis population</t>
  </si>
  <si>
    <t xml:space="preserve">Key patient characteristics </t>
  </si>
  <si>
    <t>Comparison of study designs</t>
  </si>
  <si>
    <t xml:space="preserve">multivariable-adjusted Cox regression. </t>
  </si>
  <si>
    <t>Comparison of results between…</t>
  </si>
  <si>
    <t>Key patient characteristics …</t>
  </si>
  <si>
    <t>*</t>
  </si>
  <si>
    <t>Web Figure 4</t>
  </si>
  <si>
    <t>Web Figure 3 TVE</t>
  </si>
  <si>
    <t>Web Figure 2 ACNU</t>
  </si>
  <si>
    <t>Figure 4 ACNU</t>
  </si>
  <si>
    <t>Figure 4 TVE</t>
  </si>
  <si>
    <t>Characteristic</t>
  </si>
  <si>
    <t>ACNU</t>
  </si>
  <si>
    <t>TVE</t>
  </si>
  <si>
    <t>DPP4i</t>
  </si>
  <si>
    <t>SU</t>
  </si>
  <si>
    <t>Unweighted Standardized difference</t>
  </si>
  <si>
    <t>Weighted SU</t>
  </si>
  <si>
    <t>Weighted Standardized difference</t>
  </si>
  <si>
    <t>Age</t>
  </si>
  <si>
    <t>Female</t>
  </si>
  <si>
    <t>Entry year</t>
  </si>
  <si>
    <t>BMI</t>
  </si>
  <si>
    <t>&lt;25</t>
  </si>
  <si>
    <t>25-30</t>
  </si>
  <si>
    <t>&gt;30</t>
  </si>
  <si>
    <t>Unknown</t>
  </si>
  <si>
    <t>Alcohol use</t>
  </si>
  <si>
    <t>Current</t>
  </si>
  <si>
    <t>Never</t>
  </si>
  <si>
    <t>Past/quit</t>
  </si>
  <si>
    <t>Smoke</t>
  </si>
  <si>
    <t>HbA1C Category</t>
  </si>
  <si>
    <t>&lt;53 mmol/mol (&lt;=7)</t>
  </si>
  <si>
    <t>53-64 mmol/mol (7-8)</t>
  </si>
  <si>
    <t>&gt;64 mmol/mol (&gt;8)</t>
  </si>
  <si>
    <t>Missing/unknown</t>
  </si>
  <si>
    <t>Comorbidities</t>
  </si>
  <si>
    <t>Nephropathy</t>
  </si>
  <si>
    <t>Neuropathy</t>
  </si>
  <si>
    <t>Diabetic retinopathy</t>
  </si>
  <si>
    <t>Myocardial infarction</t>
  </si>
  <si>
    <t>Stroke with transient ischemic attack</t>
  </si>
  <si>
    <t>Peripheral arterial disease</t>
  </si>
  <si>
    <t>Comedications</t>
  </si>
  <si>
    <t>GLP1RA</t>
  </si>
  <si>
    <t>SGLT2i</t>
  </si>
  <si>
    <t>Thiazolidinediones</t>
  </si>
  <si>
    <t>Sulfonylureas</t>
  </si>
  <si>
    <t>Metformin</t>
  </si>
  <si>
    <t>Insulin</t>
  </si>
  <si>
    <t>Glinides</t>
  </si>
  <si>
    <t>Alpha-glucosidase inhibitor</t>
  </si>
  <si>
    <t>Total number of non-diabetic drugs in the year before cohort entry, mean (SD)</t>
  </si>
  <si>
    <t>Aspirin</t>
  </si>
  <si>
    <t>NSAIDs</t>
  </si>
  <si>
    <t>HRT combination</t>
  </si>
  <si>
    <t>Estrogen therapy</t>
  </si>
  <si>
    <t>Gestagens</t>
  </si>
  <si>
    <t>Hormonal contraception</t>
  </si>
  <si>
    <t>Other autoimmune diseases</t>
  </si>
  <si>
    <t>Psoriasis</t>
  </si>
  <si>
    <t>Vasculitis</t>
  </si>
  <si>
    <t>Rheumatoid Arthritis</t>
  </si>
  <si>
    <t>Sjogren Syndrome</t>
  </si>
  <si>
    <t>Systemic Lupus erythematosus</t>
  </si>
  <si>
    <t>DPP4i vs SU</t>
  </si>
  <si>
    <t>DPP4i vs TZD</t>
  </si>
  <si>
    <t>N=44,929</t>
  </si>
  <si>
    <t>N=77,414</t>
  </si>
  <si>
    <t>N=68,058</t>
  </si>
  <si>
    <t>N=76,671</t>
  </si>
  <si>
    <t>N=67,035</t>
  </si>
  <si>
    <t>TZD</t>
  </si>
  <si>
    <t>N=15,588</t>
  </si>
  <si>
    <t>N=75,384</t>
  </si>
  <si>
    <t>N=16,126</t>
  </si>
  <si>
    <t>N=40,634</t>
  </si>
  <si>
    <t>N=33,598</t>
  </si>
  <si>
    <t>N=45,156</t>
  </si>
  <si>
    <t>N=32,924</t>
  </si>
  <si>
    <t>62.7 (12.62)</t>
  </si>
  <si>
    <t>62.3 (13.05)</t>
  </si>
  <si>
    <t>62.9 (12.47)</t>
  </si>
  <si>
    <t>62.8(12.36)</t>
  </si>
  <si>
    <t>61.2(11.99)</t>
  </si>
  <si>
    <t>63.0(12.35)</t>
  </si>
  <si>
    <t>61.3(12.02)</t>
  </si>
  <si>
    <t>64.1(12.41)</t>
  </si>
  <si>
    <t>60.8(12.07)</t>
  </si>
  <si>
    <t>63.9(12.41)</t>
  </si>
  <si>
    <t>60.7(12.11)</t>
  </si>
  <si>
    <t>18,710 (41.6)</t>
  </si>
  <si>
    <t>31,732 (41.0)</t>
  </si>
  <si>
    <t>28,290 (41.6)</t>
  </si>
  <si>
    <t>31,393 (40.9)</t>
  </si>
  <si>
    <t>27,385 (40.9)</t>
  </si>
  <si>
    <t>6,186 (39.7)</t>
  </si>
  <si>
    <t>30,670 (40.7)</t>
  </si>
  <si>
    <t>6,375 (39.5)</t>
  </si>
  <si>
    <t>16,208 (39.9)</t>
  </si>
  <si>
    <t>12,765 (38.0)</t>
  </si>
  <si>
    <t>18,135 (40.2)</t>
  </si>
  <si>
    <t>12,559 (38.1)</t>
  </si>
  <si>
    <t>59 (0.1)</t>
  </si>
  <si>
    <t>854 (1.1)</t>
  </si>
  <si>
    <t>16 (0.0)</t>
  </si>
  <si>
    <t>172 (0.2)</t>
  </si>
  <si>
    <t>NA</t>
  </si>
  <si>
    <t>774 (1.7)</t>
  </si>
  <si>
    <t>7,595 (9.8)</t>
  </si>
  <si>
    <t>1,009 (1.5)</t>
  </si>
  <si>
    <t>7,562 (9.9)</t>
  </si>
  <si>
    <t>942 (1.4)</t>
  </si>
  <si>
    <t>2,921 (18.7)</t>
  </si>
  <si>
    <t>1,261 (1.7)</t>
  </si>
  <si>
    <t>3,271 (20.3)</t>
  </si>
  <si>
    <t>1,928 (4.3)</t>
  </si>
  <si>
    <t>9,430 (12.2)</t>
  </si>
  <si>
    <t>3,066 (4.5)</t>
  </si>
  <si>
    <t>9,372 (12.2)</t>
  </si>
  <si>
    <t>3,508 (5.2)</t>
  </si>
  <si>
    <t>3,780 (24.2)</t>
  </si>
  <si>
    <t>4,266 (5.7)</t>
  </si>
  <si>
    <t>3,844 (23.8)</t>
  </si>
  <si>
    <t>3,873 (8.6)</t>
  </si>
  <si>
    <t>9,574 (12.4)</t>
  </si>
  <si>
    <t>6,166 (9.1)</t>
  </si>
  <si>
    <t>9,562 (12.5)</t>
  </si>
  <si>
    <t>6,099 (9.1)</t>
  </si>
  <si>
    <t>3,048 (19.6)</t>
  </si>
  <si>
    <t>7,464 (9.9)</t>
  </si>
  <si>
    <t>3,090 (19.2)</t>
  </si>
  <si>
    <t>3,481 (7.7)</t>
  </si>
  <si>
    <t>8,630 (11.1)</t>
  </si>
  <si>
    <t>5,892 (8.7)</t>
  </si>
  <si>
    <t>8,667 (11.3)</t>
  </si>
  <si>
    <t>6,043 (9.0)</t>
  </si>
  <si>
    <t>1,794 (11.5)</t>
  </si>
  <si>
    <t>7,325 (9.7)</t>
  </si>
  <si>
    <t>1,826 (11.3)</t>
  </si>
  <si>
    <t>4,019 (8.9)</t>
  </si>
  <si>
    <t>7,729 (10.0)</t>
  </si>
  <si>
    <t>6,815 (10.0)</t>
  </si>
  <si>
    <t>7,719 (10.1)</t>
  </si>
  <si>
    <t>7,226 (10.8)</t>
  </si>
  <si>
    <t>841 (5.4)</t>
  </si>
  <si>
    <t>8,268 (11.0)</t>
  </si>
  <si>
    <t>845 (5.2)</t>
  </si>
  <si>
    <t>3,758 (8.4)</t>
  </si>
  <si>
    <t>6,963 (9.0)</t>
  </si>
  <si>
    <t>6,339 (9.3)</t>
  </si>
  <si>
    <t>6,962 (9.1)</t>
  </si>
  <si>
    <t>6,798 (10.1)</t>
  </si>
  <si>
    <t>645 (4.1)</t>
  </si>
  <si>
    <t>7,476 (9.9)</t>
  </si>
  <si>
    <t>647 (4.0)</t>
  </si>
  <si>
    <t>2,052 (5.0)</t>
  </si>
  <si>
    <t>404 (1.2)</t>
  </si>
  <si>
    <t>1,903 (4.2)</t>
  </si>
  <si>
    <t>390 (1.2)</t>
  </si>
  <si>
    <t>3,680 (8.2)</t>
  </si>
  <si>
    <t>5,429 (7.0)</t>
  </si>
  <si>
    <t>6,135 (9.0)</t>
  </si>
  <si>
    <t>5,422 (7.1)</t>
  </si>
  <si>
    <t>6,553 (9.8)</t>
  </si>
  <si>
    <t>473 (3.0)</t>
  </si>
  <si>
    <t>7,016 (9.3)</t>
  </si>
  <si>
    <t>477 (3.0)</t>
  </si>
  <si>
    <t>6,171 (15.2)</t>
  </si>
  <si>
    <t>1,935 (5.8)</t>
  </si>
  <si>
    <t>6,408 (14.2)</t>
  </si>
  <si>
    <t>1,855 (5.6)</t>
  </si>
  <si>
    <t>3,983 (8.9)</t>
  </si>
  <si>
    <t>4,672 (6.0)</t>
  </si>
  <si>
    <t>6,287 (9.2)</t>
  </si>
  <si>
    <t>4,668 (6.1)</t>
  </si>
  <si>
    <t>6,562 (9.8)</t>
  </si>
  <si>
    <t>501 (3.2)</t>
  </si>
  <si>
    <t>6,959 (9.2)</t>
  </si>
  <si>
    <t>503 (3.1)</t>
  </si>
  <si>
    <t>6,698 (16.5)</t>
  </si>
  <si>
    <t>2,874 (8.6)</t>
  </si>
  <si>
    <t>7,029 (15.6)</t>
  </si>
  <si>
    <t>2,814 (8.5)</t>
  </si>
  <si>
    <t>3,578 (8.0)</t>
  </si>
  <si>
    <t>3,483 (4.5)</t>
  </si>
  <si>
    <t>5,315 (7.8)</t>
  </si>
  <si>
    <t>3,466 (4.5)</t>
  </si>
  <si>
    <t>5,545 (8.3)</t>
  </si>
  <si>
    <t>380 (2.4)</t>
  </si>
  <si>
    <t>5,874 (7.8)</t>
  </si>
  <si>
    <t>386 (2.4)</t>
  </si>
  <si>
    <t>5,779 (14.2)</t>
  </si>
  <si>
    <t>3,158 (9.4)</t>
  </si>
  <si>
    <t>6,167 (13.7)</t>
  </si>
  <si>
    <t>3,050 (9.3)</t>
  </si>
  <si>
    <t>3,298 (7.3)</t>
  </si>
  <si>
    <t>2,755 (3.6)</t>
  </si>
  <si>
    <t>4,694 (6.9)</t>
  </si>
  <si>
    <t>2,749 (3.6)</t>
  </si>
  <si>
    <t>4,903 (7.3)</t>
  </si>
  <si>
    <t>353 (2.3)</t>
  </si>
  <si>
    <t>5,179 (6.9)</t>
  </si>
  <si>
    <t>356 (2.2)</t>
  </si>
  <si>
    <t>4,952 (12.2)</t>
  </si>
  <si>
    <t>3,215 (9.6)</t>
  </si>
  <si>
    <t>5,463 (12.1)</t>
  </si>
  <si>
    <t>3,160 (9.6)</t>
  </si>
  <si>
    <t>3,172 (7.1)</t>
  </si>
  <si>
    <t>2,238 (2.9)</t>
  </si>
  <si>
    <t>4,369 (6.4)</t>
  </si>
  <si>
    <t>2,244 (2.9)</t>
  </si>
  <si>
    <t>4,472 (6.7)</t>
  </si>
  <si>
    <t>303 (1.9)</t>
  </si>
  <si>
    <t>4,783 (6.3)</t>
  </si>
  <si>
    <t>308 (1.9)</t>
  </si>
  <si>
    <t>4,604 (11.3)</t>
  </si>
  <si>
    <t>3,354 (10.0)</t>
  </si>
  <si>
    <t>5,191 (11.5)</t>
  </si>
  <si>
    <t>3,325 (10.1)</t>
  </si>
  <si>
    <t>3,055 (6.8)</t>
  </si>
  <si>
    <t>2,159 (2.8)</t>
  </si>
  <si>
    <t>4,098 (6.0)</t>
  </si>
  <si>
    <t>2,173 (2.8)</t>
  </si>
  <si>
    <t>3,946 (5.9)</t>
  </si>
  <si>
    <t>265 (1.7)</t>
  </si>
  <si>
    <t>4,279 (5.7)</t>
  </si>
  <si>
    <t>273 (1.7)</t>
  </si>
  <si>
    <t>4,107 (10.1)</t>
  </si>
  <si>
    <t>3,933 (11.7)</t>
  </si>
  <si>
    <t>4,810 (10.7)</t>
  </si>
  <si>
    <t>3,900 (11.8)</t>
  </si>
  <si>
    <t>2,273 (5.1)</t>
  </si>
  <si>
    <t>2,048 (2.6)</t>
  </si>
  <si>
    <t>2,883 (4.2)</t>
  </si>
  <si>
    <t>2,052 (2.7)</t>
  </si>
  <si>
    <t>1,926 (2.9)</t>
  </si>
  <si>
    <t>127 (0.8)</t>
  </si>
  <si>
    <t>2,285 (3.0)</t>
  </si>
  <si>
    <t>133 (0.8)</t>
  </si>
  <si>
    <t>2,551 (6.3)</t>
  </si>
  <si>
    <t>3,284 (9.8)</t>
  </si>
  <si>
    <t>3,133 (6.9)</t>
  </si>
  <si>
    <t>3,265 (9.9)</t>
  </si>
  <si>
    <t>2,307 (5.1)</t>
  </si>
  <si>
    <t>2,181 (2.8)</t>
  </si>
  <si>
    <t>2,196 (2.9)</t>
  </si>
  <si>
    <t>1,277 (1.9)</t>
  </si>
  <si>
    <t>78 (0.5)</t>
  </si>
  <si>
    <t>1,518 (2.0)</t>
  </si>
  <si>
    <t>81 (0.5)</t>
  </si>
  <si>
    <t>2,346 (5.8)</t>
  </si>
  <si>
    <t>5,765 (17.2)</t>
  </si>
  <si>
    <t>3,019 (6.7)</t>
  </si>
  <si>
    <t>5,500 (16.7)</t>
  </si>
  <si>
    <t>1,691 (3.8)</t>
  </si>
  <si>
    <t>1,674 (2.2)</t>
  </si>
  <si>
    <t>2,091 (3.1)</t>
  </si>
  <si>
    <t>1,685 (2.2)</t>
  </si>
  <si>
    <t>1,235 (1.8)</t>
  </si>
  <si>
    <t>79 (0.5)</t>
  </si>
  <si>
    <t>1,431 (1.9)</t>
  </si>
  <si>
    <t>86 (0.5)</t>
  </si>
  <si>
    <t>1,374 (3.4)</t>
  </si>
  <si>
    <t>5,676 (16.9)</t>
  </si>
  <si>
    <t>2,033 (4.5)</t>
  </si>
  <si>
    <t>5,665 (17.2)</t>
  </si>
  <si>
    <t>3,564 (7.9)</t>
  </si>
  <si>
    <t>8,739 (11.3)</t>
  </si>
  <si>
    <t>5,475 (8.0)</t>
  </si>
  <si>
    <t>8,738 (11.4)</t>
  </si>
  <si>
    <t>6,513 (9.7)</t>
  </si>
  <si>
    <t>1,533 (9.8)</t>
  </si>
  <si>
    <t>7,206 (9.6)</t>
  </si>
  <si>
    <t>1,602 (9.9)</t>
  </si>
  <si>
    <t>3,648 (9.0)</t>
  </si>
  <si>
    <t>2,228 (6.6)</t>
  </si>
  <si>
    <t>4,013 (8.9)</t>
  </si>
  <si>
    <t>2,176 (6.6)</t>
  </si>
  <si>
    <t>10,546 (23.5)</t>
  </si>
  <si>
    <t>20,426 (26.4)</t>
  </si>
  <si>
    <t>16,568 (24.3)</t>
  </si>
  <si>
    <t>20,432 (26.6)</t>
  </si>
  <si>
    <t>17,969 (26.8)</t>
  </si>
  <si>
    <t>4,335 (27.8)</t>
  </si>
  <si>
    <t>20,022 (26.6)</t>
  </si>
  <si>
    <t>4,539 (28.1)</t>
  </si>
  <si>
    <t>10,169 (25.0)</t>
  </si>
  <si>
    <t>6,251 (18.6)</t>
  </si>
  <si>
    <t>11,242 (24.9)</t>
  </si>
  <si>
    <t>6,173 (18.7)</t>
  </si>
  <si>
    <t>25,952 (57.8)</t>
  </si>
  <si>
    <t>38,279 (49.4)</t>
  </si>
  <si>
    <t>38,992 (57.3)</t>
  </si>
  <si>
    <t>37,644 (49.1)</t>
  </si>
  <si>
    <t>36,214 (54.0)</t>
  </si>
  <si>
    <t>8,711 (55.9)</t>
  </si>
  <si>
    <t>41,073 (54.5)</t>
  </si>
  <si>
    <t>8,943 (55.5)</t>
  </si>
  <si>
    <t>21,422 (52.7)</t>
  </si>
  <si>
    <t>19,788 (58.9)</t>
  </si>
  <si>
    <t>23,925 (53.0)</t>
  </si>
  <si>
    <t>19,535 (59.3)</t>
  </si>
  <si>
    <t>4,867 (10.8)</t>
  </si>
  <si>
    <t>9,970 (12.9)</t>
  </si>
  <si>
    <t>7,023 (10.3)</t>
  </si>
  <si>
    <t>9,857 (12.9)</t>
  </si>
  <si>
    <t>6,339 (9.5)</t>
  </si>
  <si>
    <t>1,009 (6.5)</t>
  </si>
  <si>
    <t>7,083 (9.4)</t>
  </si>
  <si>
    <t>1,042 (6.5)</t>
  </si>
  <si>
    <t>5,395 (13.3)</t>
  </si>
  <si>
    <t>5,331 (15.9)</t>
  </si>
  <si>
    <t>5,976 (13.2)</t>
  </si>
  <si>
    <t>5,040 (15.3)</t>
  </si>
  <si>
    <t>18,469 (41.1)</t>
  </si>
  <si>
    <t>29,418 (38.0)</t>
  </si>
  <si>
    <t>27,740 (40.8)</t>
  </si>
  <si>
    <t>29,128 (38.0)</t>
  </si>
  <si>
    <t>27,373 (40.8)</t>
  </si>
  <si>
    <t>6,233 (40.0)</t>
  </si>
  <si>
    <t>30,620 (40.6)</t>
  </si>
  <si>
    <t>6,434 (39.9)</t>
  </si>
  <si>
    <t>16,665 (41.0)</t>
  </si>
  <si>
    <t>13,462 (40.1)</t>
  </si>
  <si>
    <t>18,634 (41.3)</t>
  </si>
  <si>
    <t>13,372 (40.6)</t>
  </si>
  <si>
    <t>6,492 (14.4)</t>
  </si>
  <si>
    <t>10,496 (13.6)</t>
  </si>
  <si>
    <t>10,019 (14.7)</t>
  </si>
  <si>
    <t>10,400 (13.6)</t>
  </si>
  <si>
    <t>10,246 (15.3)</t>
  </si>
  <si>
    <t>2,273 (14.6)</t>
  </si>
  <si>
    <t>11,483 (15.2)</t>
  </si>
  <si>
    <t>2,360 (14.6)</t>
  </si>
  <si>
    <t>6,327 (15.6)</t>
  </si>
  <si>
    <t>4,542 (13.5)</t>
  </si>
  <si>
    <t>6,995 (15.5)</t>
  </si>
  <si>
    <t>4,473 (13.6)</t>
  </si>
  <si>
    <t>18,365 (40.9)</t>
  </si>
  <si>
    <t>34,962 (45.2)</t>
  </si>
  <si>
    <t>27,823 (40.9)</t>
  </si>
  <si>
    <t>34,616 (45.1)</t>
  </si>
  <si>
    <t>27,025 (40.3)</t>
  </si>
  <si>
    <t>6,629 (42.5)</t>
  </si>
  <si>
    <t>30,593 (40.6)</t>
  </si>
  <si>
    <t>6,863 (42.6)</t>
  </si>
  <si>
    <t>16,047 (39.5)</t>
  </si>
  <si>
    <t>14,327 (42.6)</t>
  </si>
  <si>
    <t>17,742 (39.3)</t>
  </si>
  <si>
    <t>13,822 (42.0)</t>
  </si>
  <si>
    <t>1,603 (3.6)</t>
  </si>
  <si>
    <t>2,538 (3.3)</t>
  </si>
  <si>
    <t>2,476 (3.6)</t>
  </si>
  <si>
    <t>2,527 (3.3)</t>
  </si>
  <si>
    <t>2,391 (3.6)</t>
  </si>
  <si>
    <t>453 (2.9)</t>
  </si>
  <si>
    <t>2,688 (3.6)</t>
  </si>
  <si>
    <t>469 (2.9)</t>
  </si>
  <si>
    <t>1,595 (3.9)</t>
  </si>
  <si>
    <t>1,267 (3.8)</t>
  </si>
  <si>
    <t>1,785 (4.0)</t>
  </si>
  <si>
    <t>1,257 (3.8)</t>
  </si>
  <si>
    <t>12,145 (27.0)</t>
  </si>
  <si>
    <t>20,114 (26.0)</t>
  </si>
  <si>
    <t>18,429 (27.1)</t>
  </si>
  <si>
    <t>19,931 (26.0)</t>
  </si>
  <si>
    <t>18,791 (28.0)</t>
  </si>
  <si>
    <t>4,590 (29.4)</t>
  </si>
  <si>
    <t>21,025 (27.9)</t>
  </si>
  <si>
    <t>4,731 (29.3)</t>
  </si>
  <si>
    <t>10,681 (26.3)</t>
  </si>
  <si>
    <t>8,359 (24.9)</t>
  </si>
  <si>
    <t>11,890 (26.3)</t>
  </si>
  <si>
    <t>8,257 (25.1)</t>
  </si>
  <si>
    <t>5,672 (12.6)</t>
  </si>
  <si>
    <t>11,104 (14.3)</t>
  </si>
  <si>
    <t>8,782 (12.9)</t>
  </si>
  <si>
    <t>10,986 (14.3)</t>
  </si>
  <si>
    <t>8,763 (13.1)</t>
  </si>
  <si>
    <t>2,257 (14.5)</t>
  </si>
  <si>
    <t>9,767 (13.0)</t>
  </si>
  <si>
    <t>2,335 (14.5)</t>
  </si>
  <si>
    <t>4,884 (12.0)</t>
  </si>
  <si>
    <t>3,935 (11.7)</t>
  </si>
  <si>
    <t>5,434 (12.0)</t>
  </si>
  <si>
    <t>3,876 (11.8)</t>
  </si>
  <si>
    <t>10,362 (23.1)</t>
  </si>
  <si>
    <t>17,819 (23.0)</t>
  </si>
  <si>
    <t>15,047 (22.1)</t>
  </si>
  <si>
    <t>17,654 (23.0)</t>
  </si>
  <si>
    <t>13,958 (20.8)</t>
  </si>
  <si>
    <t>2,611 (16.8)</t>
  </si>
  <si>
    <t>15,682 (20.8)</t>
  </si>
  <si>
    <t>2,691 (16.7)</t>
  </si>
  <si>
    <t>10,128 (24.9)</t>
  </si>
  <si>
    <t>10,306 (30.7)</t>
  </si>
  <si>
    <t>11,274 (25.0)</t>
  </si>
  <si>
    <t>9,940 (30.2)</t>
  </si>
  <si>
    <t>16,750 (37.3)</t>
  </si>
  <si>
    <t>28,377 (36.7)</t>
  </si>
  <si>
    <t>25,800 (37.9)</t>
  </si>
  <si>
    <t>28,100 (36.7)</t>
  </si>
  <si>
    <t>25,523 (38.1)</t>
  </si>
  <si>
    <t>6,130 (39.3)</t>
  </si>
  <si>
    <t>28,910 (38.4)</t>
  </si>
  <si>
    <t>6,369 (39.5)</t>
  </si>
  <si>
    <t>14,941 (36.8)</t>
  </si>
  <si>
    <t>10,998 (32.7)</t>
  </si>
  <si>
    <t>16,558 (36.7)</t>
  </si>
  <si>
    <t>10,851 (33.0)</t>
  </si>
  <si>
    <t>4,187 (9.3)</t>
  </si>
  <si>
    <t>9,572 (12.4)</t>
  </si>
  <si>
    <t>5,613 (8.2)</t>
  </si>
  <si>
    <t>9,048 (11.8)</t>
  </si>
  <si>
    <t>4,169 (6.2)</t>
  </si>
  <si>
    <t>905 (5.8)</t>
  </si>
  <si>
    <t>4,957 (6.6)</t>
  </si>
  <si>
    <t>932 (5.8)</t>
  </si>
  <si>
    <t>3,222 (7.9)</t>
  </si>
  <si>
    <t>4,097 (12.2)</t>
  </si>
  <si>
    <t>3,452 (7.6)</t>
  </si>
  <si>
    <t>3,738 (11.4)</t>
  </si>
  <si>
    <t>13,648 (30.4)</t>
  </si>
  <si>
    <t>18,668 (24.1)</t>
  </si>
  <si>
    <t>18,515 (27.2)</t>
  </si>
  <si>
    <t>18,206 (23.7)</t>
  </si>
  <si>
    <t>17,119 (25.5)</t>
  </si>
  <si>
    <t>3,913 (25.1)</t>
  </si>
  <si>
    <t>19,475 (25.8)</t>
  </si>
  <si>
    <t>4,012 (24.9)</t>
  </si>
  <si>
    <t>10,015 (24.6)</t>
  </si>
  <si>
    <t>6,317 (18.8)</t>
  </si>
  <si>
    <t>11,205 (24.8)</t>
  </si>
  <si>
    <t>6,289 (19.1)</t>
  </si>
  <si>
    <t>26,420 (58.8)</t>
  </si>
  <si>
    <t>47,576 (61.5)</t>
  </si>
  <si>
    <t>43,033 (63.2)</t>
  </si>
  <si>
    <t>47,850 (62.4)</t>
  </si>
  <si>
    <t>44,910 (67.0)</t>
  </si>
  <si>
    <t>10,603 (68.0)</t>
  </si>
  <si>
    <t>49,997 (66.3)</t>
  </si>
  <si>
    <t>11,011 (68.3)</t>
  </si>
  <si>
    <t>26,718 (65.8)</t>
  </si>
  <si>
    <t>21,901 (65.2)</t>
  </si>
  <si>
    <t>29,770 (65.9)</t>
  </si>
  <si>
    <t>21,750 (66.1)</t>
  </si>
  <si>
    <t>674 (1.5)</t>
  </si>
  <si>
    <t>1,598 (2.1)</t>
  </si>
  <si>
    <t>897 (1.3)</t>
  </si>
  <si>
    <t>1,567 (2.0)</t>
  </si>
  <si>
    <t>837 (1.2)</t>
  </si>
  <si>
    <t>167 (1.1)</t>
  </si>
  <si>
    <t>955 (1.3)</t>
  </si>
  <si>
    <t>171 (1.1)</t>
  </si>
  <si>
    <t>679 (1.7)</t>
  </si>
  <si>
    <t>1,283 (3.8)</t>
  </si>
  <si>
    <t>729 (1.6)</t>
  </si>
  <si>
    <t>1,147 (3.5)</t>
  </si>
  <si>
    <t>Comorbidities*</t>
  </si>
  <si>
    <t>185 (0.4)</t>
  </si>
  <si>
    <t>249 (0.3)</t>
  </si>
  <si>
    <t>278 (0.4)</t>
  </si>
  <si>
    <t>236 (0.3)</t>
  </si>
  <si>
    <t>348 (0.5)</t>
  </si>
  <si>
    <t>80 (0.5)</t>
  </si>
  <si>
    <t>397 (0.5)</t>
  </si>
  <si>
    <t>82 (0.5)</t>
  </si>
  <si>
    <t>194 (0.5)</t>
  </si>
  <si>
    <t>125 (0.4)</t>
  </si>
  <si>
    <t>211 (0.5)</t>
  </si>
  <si>
    <t>716 (1.6)</t>
  </si>
  <si>
    <t>1,036 (1.3)</t>
  </si>
  <si>
    <t>1,118 (1.6)</t>
  </si>
  <si>
    <t>1,018 (1.3)</t>
  </si>
  <si>
    <t>1,357 (2.0)</t>
  </si>
  <si>
    <t>323 (2.1)</t>
  </si>
  <si>
    <t>1,573 (2.1)</t>
  </si>
  <si>
    <t>336 (2.1)</t>
  </si>
  <si>
    <t>768 (1.9)</t>
  </si>
  <si>
    <t>546 (1.6)</t>
  </si>
  <si>
    <t>830 (1.8)</t>
  </si>
  <si>
    <t>533 (1.6)</t>
  </si>
  <si>
    <t>18,492 (41.2)</t>
  </si>
  <si>
    <t>24,649 (31.8)</t>
  </si>
  <si>
    <t>29,234 (43.0)</t>
  </si>
  <si>
    <t>24,612 (32.1)</t>
  </si>
  <si>
    <t>29,476 (44.0)</t>
  </si>
  <si>
    <t>5,320 (34.1)</t>
  </si>
  <si>
    <t>33,184 (44.0)</t>
  </si>
  <si>
    <t>5,507 (34.1)</t>
  </si>
  <si>
    <t>20,079 (49.4)</t>
  </si>
  <si>
    <t>16,565 (49.3)</t>
  </si>
  <si>
    <t>22,478 (49.8)</t>
  </si>
  <si>
    <t>16,427 (49.9)</t>
  </si>
  <si>
    <t>3,346 (7.4)</t>
  </si>
  <si>
    <t>5,957 (7.7)</t>
  </si>
  <si>
    <t>5,139 (7.6)</t>
  </si>
  <si>
    <t>5,891 (7.7)</t>
  </si>
  <si>
    <t>3,875 (5.8)</t>
  </si>
  <si>
    <t>729 (4.7)</t>
  </si>
  <si>
    <t>4,839 (6.4)</t>
  </si>
  <si>
    <t>804 (5.0)</t>
  </si>
  <si>
    <t>3,344 (8.2)</t>
  </si>
  <si>
    <t>3,291 (9.8)</t>
  </si>
  <si>
    <t>3,663 (8.1)</t>
  </si>
  <si>
    <t>3,132 (9.5)</t>
  </si>
  <si>
    <t>3,493 (7.8)</t>
  </si>
  <si>
    <t>6,007 (7.8)</t>
  </si>
  <si>
    <t>5,331 (7.8)</t>
  </si>
  <si>
    <t>5,976 (7.8)</t>
  </si>
  <si>
    <t>4,965 (7.4)</t>
  </si>
  <si>
    <t>926 (5.9)</t>
  </si>
  <si>
    <t>5,771 (7.7)</t>
  </si>
  <si>
    <t>981 (6.1)</t>
  </si>
  <si>
    <t>3,513 (8.6)</t>
  </si>
  <si>
    <t>2,369 (7.1)</t>
  </si>
  <si>
    <t>3,836 (8.5)</t>
  </si>
  <si>
    <t>2,318 (7.0)</t>
  </si>
  <si>
    <t>1,104 (2.5)</t>
  </si>
  <si>
    <t>1,917 (2.5)</t>
  </si>
  <si>
    <t>1,739 (2.6)</t>
  </si>
  <si>
    <t>1,904 (2.5)</t>
  </si>
  <si>
    <t>1,666 (2.5)</t>
  </si>
  <si>
    <t>344 (2.2)</t>
  </si>
  <si>
    <t>1,965 (2.6)</t>
  </si>
  <si>
    <t>370 (2.3)</t>
  </si>
  <si>
    <t>1,139 (2.8)</t>
  </si>
  <si>
    <t>792 (2.4)</t>
  </si>
  <si>
    <t>1,247 (2.8)</t>
  </si>
  <si>
    <t>773 (2.3)</t>
  </si>
  <si>
    <t>1,059 (2.4)</t>
  </si>
  <si>
    <t>1,336 (1.7)</t>
  </si>
  <si>
    <t>1,601 (2.4)</t>
  </si>
  <si>
    <t>1,339 (1.7)</t>
  </si>
  <si>
    <t>1,892 (2.8)</t>
  </si>
  <si>
    <t>487 (3.1)</t>
  </si>
  <si>
    <t>2,155 (2.9)</t>
  </si>
  <si>
    <t>491 (3.0)</t>
  </si>
  <si>
    <t>1,078 (2.7)</t>
  </si>
  <si>
    <t>4,018 (12.0)</t>
  </si>
  <si>
    <t>1,270 (2.8)</t>
  </si>
  <si>
    <t>3,649 (11.1)</t>
  </si>
  <si>
    <t>NTSR</t>
  </si>
  <si>
    <t>1,226 (1.6)</t>
  </si>
  <si>
    <t>1,234 (1.6)</t>
  </si>
  <si>
    <t>449 (2.9)</t>
  </si>
  <si>
    <t>456 (2.8)</t>
  </si>
  <si>
    <t>4,214 (12.5)</t>
  </si>
  <si>
    <t>4,060 (12.3)</t>
  </si>
  <si>
    <t>3,086 (6.9)</t>
  </si>
  <si>
    <t>1,765 (2.3)</t>
  </si>
  <si>
    <t>4,225 (6.2)</t>
  </si>
  <si>
    <t>1,770 (2.3)</t>
  </si>
  <si>
    <t>4,661 (7.0)</t>
  </si>
  <si>
    <t>548 (3.5)</t>
  </si>
  <si>
    <t>4,919 (6.5)</t>
  </si>
  <si>
    <t>556 (3.4)</t>
  </si>
  <si>
    <t>453 (1.1)</t>
  </si>
  <si>
    <t>4,725 (10.5)</t>
  </si>
  <si>
    <t>6,922 (15.4)</t>
  </si>
  <si>
    <t>9,182 (11.9)</t>
  </si>
  <si>
    <t>11,315 (16.6)</t>
  </si>
  <si>
    <t>8,549 (11.2)</t>
  </si>
  <si>
    <t>7,140 (10.7)</t>
  </si>
  <si>
    <t>608 (3.9)</t>
  </si>
  <si>
    <t>13,119 (17.4)</t>
  </si>
  <si>
    <t>646 (4.0)</t>
  </si>
  <si>
    <t>5,585 (13.7)</t>
  </si>
  <si>
    <t>4,872 (14.5)</t>
  </si>
  <si>
    <t>6,136 (13.6)</t>
  </si>
  <si>
    <t>4,747 (14.4)</t>
  </si>
  <si>
    <t>7,066 (15.7)</t>
  </si>
  <si>
    <t>4,291 (5.5)</t>
  </si>
  <si>
    <t>30,162 (44.3)</t>
  </si>
  <si>
    <t>4,043 (5.3)</t>
  </si>
  <si>
    <t>36,437 (54.4)</t>
  </si>
  <si>
    <t>9,758 (62.6)</t>
  </si>
  <si>
    <t>41,773 (55.4)</t>
  </si>
  <si>
    <t>10,183 (63.1)</t>
  </si>
  <si>
    <t>19,307 (47.5)</t>
  </si>
  <si>
    <t>14,065 (41.9)</t>
  </si>
  <si>
    <t>21,290 (47.1)</t>
  </si>
  <si>
    <t>13,829 (42.0)</t>
  </si>
  <si>
    <t>42,711 (95.1)</t>
  </si>
  <si>
    <t>65,474 (84.6)</t>
  </si>
  <si>
    <t>65,251 (95.9)</t>
  </si>
  <si>
    <t>64,772 (84.5)</t>
  </si>
  <si>
    <t>64,408 (96.1)</t>
  </si>
  <si>
    <t>15,109 (96.9)</t>
  </si>
  <si>
    <t>72,457 (96.1)</t>
  </si>
  <si>
    <t>15,633 (96.9)</t>
  </si>
  <si>
    <t>38,253 (94.1)</t>
  </si>
  <si>
    <t>29,366 (87.4)</t>
  </si>
  <si>
    <t>42,667 (94.5)</t>
  </si>
  <si>
    <t>29,220 (88.7)</t>
  </si>
  <si>
    <t>3,222 (7.2)</t>
  </si>
  <si>
    <t>3,117 (4.0)</t>
  </si>
  <si>
    <t>4,075 (6.0)</t>
  </si>
  <si>
    <t>2,993 (3.9)</t>
  </si>
  <si>
    <t>4,950 (7.4)</t>
  </si>
  <si>
    <t>1,153 (7.4)</t>
  </si>
  <si>
    <t>5,593 (7.4)</t>
  </si>
  <si>
    <t>1,209 (7.5)</t>
  </si>
  <si>
    <t>3,427 (8.4)</t>
  </si>
  <si>
    <t>4,581 (13.6)</t>
  </si>
  <si>
    <t>3,640 (8.1)</t>
  </si>
  <si>
    <t>4,374 (13.3)</t>
  </si>
  <si>
    <t>574 (1.3)</t>
  </si>
  <si>
    <t>715 (0.9)</t>
  </si>
  <si>
    <t>802 (1.2)</t>
  </si>
  <si>
    <t>676 (0.9)</t>
  </si>
  <si>
    <t>855 (1.3)</t>
  </si>
  <si>
    <t>278 (1.8)</t>
  </si>
  <si>
    <t>1,023 (1.4)</t>
  </si>
  <si>
    <t>289 (1.8)</t>
  </si>
  <si>
    <t>345 (0.8)</t>
  </si>
  <si>
    <t>273 (0.8)</t>
  </si>
  <si>
    <t>378 (0.8)</t>
  </si>
  <si>
    <t>259 (0.8)</t>
  </si>
  <si>
    <t>368 (0.8)</t>
  </si>
  <si>
    <t>513 (0.7)</t>
  </si>
  <si>
    <t>510 (0.7)</t>
  </si>
  <si>
    <t>470 (0.6)</t>
  </si>
  <si>
    <t>772 (1.2)</t>
  </si>
  <si>
    <t>281 (1.8)</t>
  </si>
  <si>
    <t>947 (1.3)</t>
  </si>
  <si>
    <t>301 (1.9)</t>
  </si>
  <si>
    <t>355 (0.9)</t>
  </si>
  <si>
    <t>283 (0.8)</t>
  </si>
  <si>
    <t>376 (0.8)</t>
  </si>
  <si>
    <t>270 (0.8)</t>
  </si>
  <si>
    <t>7.0(4.29)</t>
  </si>
  <si>
    <t>7.0(4.45)</t>
  </si>
  <si>
    <t>7.1(4.28)</t>
  </si>
  <si>
    <t>6.8(4.12)</t>
  </si>
  <si>
    <t>6.7(3.91)</t>
  </si>
  <si>
    <t>6.9(4.15)</t>
  </si>
  <si>
    <t>6.8(3.93)</t>
  </si>
  <si>
    <t>7.0(4.33)</t>
  </si>
  <si>
    <t>6.9(4.34)</t>
  </si>
  <si>
    <t>7.0(4.30)</t>
  </si>
  <si>
    <t>6.9(4.33)</t>
  </si>
  <si>
    <t>1,611 (3.6)</t>
  </si>
  <si>
    <t>2,692 (3.5)</t>
  </si>
  <si>
    <t>2,510 (3.7)</t>
  </si>
  <si>
    <t>2,671 (3.5)</t>
  </si>
  <si>
    <t>2,180 (3.3)</t>
  </si>
  <si>
    <t>477 (3.1)</t>
  </si>
  <si>
    <t>2,561 (3.4)</t>
  </si>
  <si>
    <t>501 (3.1)</t>
  </si>
  <si>
    <t>1,493 (3.7)</t>
  </si>
  <si>
    <t>1,264 (3.8)</t>
  </si>
  <si>
    <t>1,655 (3.7)</t>
  </si>
  <si>
    <t>1,239 (3.8)</t>
  </si>
  <si>
    <t>33,176 (73.8)</t>
  </si>
  <si>
    <t>55,037 (71.1)</t>
  </si>
  <si>
    <t>50,837 (74.7)</t>
  </si>
  <si>
    <t>54,638 (71.3)</t>
  </si>
  <si>
    <t>48,819 (72.8)</t>
  </si>
  <si>
    <t>10,963 (70.3)</t>
  </si>
  <si>
    <t>54,934 (72.9)</t>
  </si>
  <si>
    <t>11,329 (70.3)</t>
  </si>
  <si>
    <t>30,029 (73.9)</t>
  </si>
  <si>
    <t>25,036 (74.5)</t>
  </si>
  <si>
    <t>33,509 (74.2)</t>
  </si>
  <si>
    <t>24,577 (74.6)</t>
  </si>
  <si>
    <t>2,506 (5.6)</t>
  </si>
  <si>
    <t>3,992 (5.2)</t>
  </si>
  <si>
    <t>3,928 (5.8)</t>
  </si>
  <si>
    <t>3,958 (5.2)</t>
  </si>
  <si>
    <t>3,569 (5.3)</t>
  </si>
  <si>
    <t>832 (5.3)</t>
  </si>
  <si>
    <t>4,019 (5.3)</t>
  </si>
  <si>
    <t>854 (5.3)</t>
  </si>
  <si>
    <t>2,243 (5.5)</t>
  </si>
  <si>
    <t>1,700 (5.1)</t>
  </si>
  <si>
    <t>2,501 (5.5)</t>
  </si>
  <si>
    <t>1,667 (5.1)</t>
  </si>
  <si>
    <t>4,383 (9.8)</t>
  </si>
  <si>
    <t>6,909 (8.9)</t>
  </si>
  <si>
    <t>6,812 (10.0)</t>
  </si>
  <si>
    <t>6,858 (8.9)</t>
  </si>
  <si>
    <t>6,307 (9.4)</t>
  </si>
  <si>
    <t>1,399 (9.0)</t>
  </si>
  <si>
    <t>7,111 (9.4)</t>
  </si>
  <si>
    <t>1,447 (9.0)</t>
  </si>
  <si>
    <t>3,951 (9.7)</t>
  </si>
  <si>
    <t>2,862 (8.5)</t>
  </si>
  <si>
    <t>4,406 (9.8)</t>
  </si>
  <si>
    <t>2,822 (8.6)</t>
  </si>
  <si>
    <t>3,214 (7.2)</t>
  </si>
  <si>
    <t>4,776 (6.2)</t>
  </si>
  <si>
    <t>4,866 (7.1)</t>
  </si>
  <si>
    <t>4,735 (6.2)</t>
  </si>
  <si>
    <t>4,475 (6.7)</t>
  </si>
  <si>
    <t>968 (6.2)</t>
  </si>
  <si>
    <t>4,914 (6.5)</t>
  </si>
  <si>
    <t>984 (6.1)</t>
  </si>
  <si>
    <t>2,722 (6.7)</t>
  </si>
  <si>
    <t>2,929 (8.7)</t>
  </si>
  <si>
    <t>3,160 (7.0)</t>
  </si>
  <si>
    <t>2,907 (8.8)</t>
  </si>
  <si>
    <t>3,213 (7.2)</t>
  </si>
  <si>
    <t>4,794 (6.2)</t>
  </si>
  <si>
    <t>4,737 (7.0)</t>
  </si>
  <si>
    <t>4,755 (6.2)</t>
  </si>
  <si>
    <t>4,312 (6.4)</t>
  </si>
  <si>
    <t>848 (5.4)</t>
  </si>
  <si>
    <t>4,704 (6.2)</t>
  </si>
  <si>
    <t>863 (5.4)</t>
  </si>
  <si>
    <t>2,764 (6.8)</t>
  </si>
  <si>
    <t>3,155 (9.4)</t>
  </si>
  <si>
    <t>3,226 (7.1)</t>
  </si>
  <si>
    <t>3,135 (9.5)</t>
  </si>
  <si>
    <t>Other autoimmune diseases*</t>
  </si>
  <si>
    <t>2,336 (5.2)</t>
  </si>
  <si>
    <t>3,665 (4.7)</t>
  </si>
  <si>
    <t>3,507 (5.2)</t>
  </si>
  <si>
    <t>3,631 (4.7)</t>
  </si>
  <si>
    <t>3,283 (4.9)</t>
  </si>
  <si>
    <t>693 (4.4)</t>
  </si>
  <si>
    <t>3,709 (4.9)</t>
  </si>
  <si>
    <t>716 (4.4)</t>
  </si>
  <si>
    <t>2,116 (5.2)</t>
  </si>
  <si>
    <t>1,821 (5.4)</t>
  </si>
  <si>
    <t>2,375 (5.3)</t>
  </si>
  <si>
    <t>1,782 (5.4)</t>
  </si>
  <si>
    <t>1,605 (3.6)</t>
  </si>
  <si>
    <t>2,670 (3.4)</t>
  </si>
  <si>
    <t>2,477 (3.6)</t>
  </si>
  <si>
    <t>2,646 (3.5)</t>
  </si>
  <si>
    <t>2,282 (3.4)</t>
  </si>
  <si>
    <t>471 (3.0)</t>
  </si>
  <si>
    <t>2,609 (3.5)</t>
  </si>
  <si>
    <t>1,475 (3.6)</t>
  </si>
  <si>
    <t>1,078 (3.2)</t>
  </si>
  <si>
    <t>1,622 (3.6)</t>
  </si>
  <si>
    <t>1,065 (3.2)</t>
  </si>
  <si>
    <t>280 (0.6)</t>
  </si>
  <si>
    <t>455 (0.7)</t>
  </si>
  <si>
    <t>474 (0.6)</t>
  </si>
  <si>
    <t>393 (0.6)</t>
  </si>
  <si>
    <t>446 (0.6)</t>
  </si>
  <si>
    <t>263 (0.6)</t>
  </si>
  <si>
    <t>206 (0.6)</t>
  </si>
  <si>
    <t>288 (0.6)</t>
  </si>
  <si>
    <t>195 (0.6)</t>
  </si>
  <si>
    <t>55 (0.1)</t>
  </si>
  <si>
    <t>97 (0.1)</t>
  </si>
  <si>
    <t>90 (0.1)</t>
  </si>
  <si>
    <t>60 (0.1)</t>
  </si>
  <si>
    <t>10 (0.1)</t>
  </si>
  <si>
    <t>73 (0.1)</t>
  </si>
  <si>
    <t>45 (0.1)</t>
  </si>
  <si>
    <t>37 (0.1)</t>
  </si>
  <si>
    <t>48 (0.1)</t>
  </si>
  <si>
    <t>36 (0.1)</t>
  </si>
  <si>
    <t>17 (0.0)</t>
  </si>
  <si>
    <t>35 (0.0)</t>
  </si>
  <si>
    <t>27 (0.0)</t>
  </si>
  <si>
    <t>35 (0.1)</t>
  </si>
  <si>
    <t>7 (0.0)</t>
  </si>
  <si>
    <t>39 (0.1)</t>
  </si>
  <si>
    <t>24 (0.1)</t>
  </si>
  <si>
    <t>25 (0.1)</t>
  </si>
  <si>
    <t>dpp4i</t>
  </si>
  <si>
    <t>N=46,794</t>
  </si>
  <si>
    <t>N=92,794</t>
  </si>
  <si>
    <t>Unwgted Stdz Diff</t>
  </si>
  <si>
    <t>N=47,418</t>
  </si>
  <si>
    <t>Wgted Stdz Diff</t>
  </si>
  <si>
    <t>Age at time0 (first prescription of drug class), mean(SD)</t>
  </si>
  <si>
    <t>62.9(12.60)</t>
  </si>
  <si>
    <t>62.5(13.22)</t>
  </si>
  <si>
    <t>62.4(12.68)</t>
  </si>
  <si>
    <t>Sex (m=male, f=female), Female</t>
  </si>
  <si>
    <t>19,498 (41.7%)</t>
  </si>
  <si>
    <t>38,138 (41.1%)</t>
  </si>
  <si>
    <t>20,040 (42.3%)</t>
  </si>
  <si>
    <t>Entry_year</t>
  </si>
  <si>
    <t>206 (0.4%)</t>
  </si>
  <si>
    <t>10,388 (11.2%)</t>
  </si>
  <si>
    <t>207 (0.4%)</t>
  </si>
  <si>
    <t>831 (1.8%)</t>
  </si>
  <si>
    <t>11,027 (11.9%)</t>
  </si>
  <si>
    <t>837 (1.8%)</t>
  </si>
  <si>
    <t>1,951 (4.2%)</t>
  </si>
  <si>
    <t>11,026 (11.9%)</t>
  </si>
  <si>
    <t>1,961 (4.1%)</t>
  </si>
  <si>
    <t>3,895 (8.3%)</t>
  </si>
  <si>
    <t>9,807 (10.6%)</t>
  </si>
  <si>
    <t>3,889 (8.2%)</t>
  </si>
  <si>
    <t>3,498 (7.5%)</t>
  </si>
  <si>
    <t>8,764 (9.4%)</t>
  </si>
  <si>
    <t>3,535 (7.5%)</t>
  </si>
  <si>
    <t>4,054 (8.7%)</t>
  </si>
  <si>
    <t>7,738 (8.3%)</t>
  </si>
  <si>
    <t>4,114 (8.7%)</t>
  </si>
  <si>
    <t>3,796 (8.1%)</t>
  </si>
  <si>
    <t>6,976 (7.5%)</t>
  </si>
  <si>
    <t>3,849 (8.1%)</t>
  </si>
  <si>
    <t>3,734 (8.0%)</t>
  </si>
  <si>
    <t>5,439 (5.9%)</t>
  </si>
  <si>
    <t>3,757 (7.9%)</t>
  </si>
  <si>
    <t>4,116 (8.8%)</t>
  </si>
  <si>
    <t>4,709 (5.1%)</t>
  </si>
  <si>
    <t>4,166 (8.8%)</t>
  </si>
  <si>
    <t>3,749 (8.0%)</t>
  </si>
  <si>
    <t>3,522 (3.8%)</t>
  </si>
  <si>
    <t>3,832 (8.1%)</t>
  </si>
  <si>
    <t>3,512 (7.5%)</t>
  </si>
  <si>
    <t>2,809 (3.0%)</t>
  </si>
  <si>
    <t>3,519 (7.4%)</t>
  </si>
  <si>
    <t>3,522 (7.5%)</t>
  </si>
  <si>
    <t>2,342 (2.5%)</t>
  </si>
  <si>
    <t>3,680 (7.8%)</t>
  </si>
  <si>
    <t>3,434 (7.3%)</t>
  </si>
  <si>
    <t>2,245 (2.4%)</t>
  </si>
  <si>
    <t>3,457 (7.3%)</t>
  </si>
  <si>
    <t>2,380 (5.1%)</t>
  </si>
  <si>
    <t>2,083 (2.2%)</t>
  </si>
  <si>
    <t>2,429 (5.1%)</t>
  </si>
  <si>
    <t>2,392 (5.1%)</t>
  </si>
  <si>
    <t>2,220 (2.4%)</t>
  </si>
  <si>
    <t>2,433 (5.1%)</t>
  </si>
  <si>
    <t>1,724 (3.7%)</t>
  </si>
  <si>
    <t>1,699 (1.8%)</t>
  </si>
  <si>
    <t>1,753 (3.7%)</t>
  </si>
  <si>
    <t>Diff_1st_2ndrx, mean(SD)</t>
  </si>
  <si>
    <t>33.1(20.43)</t>
  </si>
  <si>
    <t>34.3(23.16)</t>
  </si>
  <si>
    <t>34.3(22.87)</t>
  </si>
  <si>
    <t>Bmi_cat2</t>
  </si>
  <si>
    <t>3,634 (7.8%)</t>
  </si>
  <si>
    <t>12,147 (13.1%)</t>
  </si>
  <si>
    <t>3,507 (7.4%)</t>
  </si>
  <si>
    <t>10,813 (23.1%)</t>
  </si>
  <si>
    <t>24,926 (26.9%)</t>
  </si>
  <si>
    <t>10,550 (22.2%)</t>
  </si>
  <si>
    <t>27,311 (58.4%)</t>
  </si>
  <si>
    <t>43,509 (46.9%)</t>
  </si>
  <si>
    <t>28,397 (59.9%)</t>
  </si>
  <si>
    <t>Missing</t>
  </si>
  <si>
    <t>5,036 (10.8%)</t>
  </si>
  <si>
    <t>12,212 (13.2%)</t>
  </si>
  <si>
    <t>4,964 (10.5%)</t>
  </si>
  <si>
    <t>Alcohol_cat</t>
  </si>
  <si>
    <t>19,226 (41.1%)</t>
  </si>
  <si>
    <t>34,699 (37.4%)</t>
  </si>
  <si>
    <t>19,556 (41.2%)</t>
  </si>
  <si>
    <t>6,778 (14.5%)</t>
  </si>
  <si>
    <t>12,537 (13.5%)</t>
  </si>
  <si>
    <t>6,928 (14.6%)</t>
  </si>
  <si>
    <t>19,133 (40.9%)</t>
  </si>
  <si>
    <t>42,658 (46.0%)</t>
  </si>
  <si>
    <t>19,312 (40.7%)</t>
  </si>
  <si>
    <t>1,657 (3.5%)</t>
  </si>
  <si>
    <t>2,900 (3.1%)</t>
  </si>
  <si>
    <t>1,621 (3.4%)</t>
  </si>
  <si>
    <t>Smoke_cat</t>
  </si>
  <si>
    <t>12,677 (27.1%)</t>
  </si>
  <si>
    <t>24,069 (25.9%)</t>
  </si>
  <si>
    <t>12,968 (27.3%)</t>
  </si>
  <si>
    <t>5,831 (12.5%)</t>
  </si>
  <si>
    <t>13,557 (14.6%)</t>
  </si>
  <si>
    <t>5,972 (12.6%)</t>
  </si>
  <si>
    <t>10,766 (23.0%)</t>
  </si>
  <si>
    <t>21,133 (22.8%)</t>
  </si>
  <si>
    <t>10,879 (22.9%)</t>
  </si>
  <si>
    <t>17,520 (37.4%)</t>
  </si>
  <si>
    <t>34,035 (36.7%)</t>
  </si>
  <si>
    <t>17,600 (37.1%)</t>
  </si>
  <si>
    <t>Hba1c_cat2</t>
  </si>
  <si>
    <t>&lt;53 mmol/mol (&lt;=7%)</t>
  </si>
  <si>
    <t>4,357 (9.3%)</t>
  </si>
  <si>
    <t>13,058 (14.1%)</t>
  </si>
  <si>
    <t>4,260 (9.0%)</t>
  </si>
  <si>
    <t>53-64 mmol/mol (7-8%)</t>
  </si>
  <si>
    <t>14,482 (30.9%)</t>
  </si>
  <si>
    <t>21,469 (23.1%)</t>
  </si>
  <si>
    <t>14,227 (30.0%)</t>
  </si>
  <si>
    <t>&gt;64 mmol/mol (&gt;8%)</t>
  </si>
  <si>
    <t>27,256 (58.2%)</t>
  </si>
  <si>
    <t>56,097 (60.5%)</t>
  </si>
  <si>
    <t>28,220 (59.5%)</t>
  </si>
  <si>
    <t>699 (1.5%)</t>
  </si>
  <si>
    <t>2,170 (2.3%)</t>
  </si>
  <si>
    <t>711 (1.5%)</t>
  </si>
  <si>
    <t>Nephropathy read code ever prior to time0 using all lookback</t>
  </si>
  <si>
    <t>236 (0.5%)</t>
  </si>
  <si>
    <t>306 (0.3%)</t>
  </si>
  <si>
    <t>230 (0.5%)</t>
  </si>
  <si>
    <t>Neuropathy read code ever prior to time0 using all lookback</t>
  </si>
  <si>
    <t>840 (1.8%)</t>
  </si>
  <si>
    <t>1,234 (1.3%)</t>
  </si>
  <si>
    <t>810 (1.7%)</t>
  </si>
  <si>
    <t>Diabetic_retinopathy_P read code ever prior to time0 using all lookback</t>
  </si>
  <si>
    <t>19,403 (41.5%)</t>
  </si>
  <si>
    <t>26,829 (28.9%)</t>
  </si>
  <si>
    <t>20,292 (42.8%)</t>
  </si>
  <si>
    <t>Myocardial infarction_P read code ever prior to time0 using all lookback</t>
  </si>
  <si>
    <t>3,534 (7.6%)</t>
  </si>
  <si>
    <t>7,360 (7.9%)</t>
  </si>
  <si>
    <t>3,616 (7.6%)</t>
  </si>
  <si>
    <t>Strokes_all_with TIA_P read code ever prior to time0 using all lookback</t>
  </si>
  <si>
    <t>3,684 (7.9%)</t>
  </si>
  <si>
    <t>7,387 (8.0%)</t>
  </si>
  <si>
    <t>3,708 (7.8%)</t>
  </si>
  <si>
    <t>Peripheral arterial disease read code ever prior to time0 using all lookback</t>
  </si>
  <si>
    <t>1,185 (2.5%)</t>
  </si>
  <si>
    <t>2,392 (2.6%)</t>
  </si>
  <si>
    <t>1,136 (2.4%)</t>
  </si>
  <si>
    <t>oral antidiabetics_GLP-1 (Incretin mimetics)_SCh Rx ever prior to time0 using all lookback</t>
  </si>
  <si>
    <t>1,263 (2.7%)</t>
  </si>
  <si>
    <t>1,383 (1.5%)</t>
  </si>
  <si>
    <t>1,221 (2.6%)</t>
  </si>
  <si>
    <t>oral antidiabetics_Gliptins (DPP4)_ALL_SCh Rx ever prior to time0 using all lookback</t>
  </si>
  <si>
    <t>1,295 (1.4%)</t>
  </si>
  <si>
    <t>1,892 (4.0%)</t>
  </si>
  <si>
    <t>oral antidiabetics_SGLT2 inhib_ALL_SCh Rx ever prior to time0 using all lookback</t>
  </si>
  <si>
    <t>3,547 (7.6%)</t>
  </si>
  <si>
    <t>1,895 (2.0%)</t>
  </si>
  <si>
    <t>3,793 (8.0%)</t>
  </si>
  <si>
    <t>oral antidiabetics_Thiazolidinediones (PPAR)_SCh Rx ever prior to time0 using all lookback</t>
  </si>
  <si>
    <t>7,746 (16.6%)</t>
  </si>
  <si>
    <t>11,031 (11.9%)</t>
  </si>
  <si>
    <t>7,303 (15.4%)</t>
  </si>
  <si>
    <t>oral antidiabetics_Sulfonylureas_Standard Rx ever prior to time0 using all lookback</t>
  </si>
  <si>
    <t>7,861 (16.8%)</t>
  </si>
  <si>
    <t>6,014 (6.5%)</t>
  </si>
  <si>
    <t>2,775 (5.9%)</t>
  </si>
  <si>
    <t>oral antidiabetics_Biguanides Rx ever prior to time0 using all lookback</t>
  </si>
  <si>
    <t>44,532 (95.2%)</t>
  </si>
  <si>
    <t>74,954 (80.8%)</t>
  </si>
  <si>
    <t>45,245 (95.4%)</t>
  </si>
  <si>
    <t>Insulin Rx ever prior to time0 using all lookback</t>
  </si>
  <si>
    <t>4,217 (9.0%)</t>
  </si>
  <si>
    <t>3,737 (4.0%)</t>
  </si>
  <si>
    <t>4,876 (10.3%)</t>
  </si>
  <si>
    <t>oral antidiabetics_Glinides Rx ever prior to time0 using all lookback</t>
  </si>
  <si>
    <t>779 (1.7%)</t>
  </si>
  <si>
    <t>840 (0.9%)</t>
  </si>
  <si>
    <t>995 (2.1%)</t>
  </si>
  <si>
    <t>oral antidiabetics_agluco Rx ever prior to time0 using all lookback</t>
  </si>
  <si>
    <t>475 (1.0%)</t>
  </si>
  <si>
    <t>614 (0.7%)</t>
  </si>
  <si>
    <t>540 (1.1%)</t>
  </si>
  <si>
    <t>Total number of unique non-diabetic drugs in the year before cohort entry, mean(SD)</t>
  </si>
  <si>
    <t>7.1(4.30)</t>
  </si>
  <si>
    <t>7.0(4.46)</t>
  </si>
  <si>
    <t>7.1(4.43)</t>
  </si>
  <si>
    <t>Acetylsalicylic acid noncardiovascular Rx ever prior to time0 using all lookback</t>
  </si>
  <si>
    <t>1,703 (3.6%)</t>
  </si>
  <si>
    <t>3,302 (3.6%)</t>
  </si>
  <si>
    <t>1,787 (3.8%)</t>
  </si>
  <si>
    <t>NSAIDs_All Rx ever prior to time0 using all lookback</t>
  </si>
  <si>
    <t>34,641 (74.0%)</t>
  </si>
  <si>
    <t>64,873 (69.9%)</t>
  </si>
  <si>
    <t>35,010 (73.8%)</t>
  </si>
  <si>
    <t>HRT estrogen opposed Rx ever prior to time0 using all lookback</t>
  </si>
  <si>
    <t>2,640 (5.6%)</t>
  </si>
  <si>
    <t>4,704 (5.1%)</t>
  </si>
  <si>
    <t>2,662 (5.6%)</t>
  </si>
  <si>
    <t>estrogen therapy Rx ever prior to time0 using all lookback</t>
  </si>
  <si>
    <t>4,626 (9.9%)</t>
  </si>
  <si>
    <t>8,085 (8.7%)</t>
  </si>
  <si>
    <t>4,650 (9.8%)</t>
  </si>
  <si>
    <t>Gestagens Rx ever prior to time0 using all lookback</t>
  </si>
  <si>
    <t>3,370 (7.2%)</t>
  </si>
  <si>
    <t>5,420 (5.8%)</t>
  </si>
  <si>
    <t>3,553 (7.5%)</t>
  </si>
  <si>
    <t>hormonal contraception Rx ever prior to time0 using all lookback</t>
  </si>
  <si>
    <t>3,328 (7.1%)</t>
  </si>
  <si>
    <t>5,425 (5.8%)</t>
  </si>
  <si>
    <t>3,570 (7.5%)</t>
  </si>
  <si>
    <t>psoriasis_P read code ever prior to time0 using all lookback</t>
  </si>
  <si>
    <t>2,460 (5.3%)</t>
  </si>
  <si>
    <t>4,250 (4.6%)</t>
  </si>
  <si>
    <t>2,516 (5.3%)</t>
  </si>
  <si>
    <t>vasculitis_P read code ever prior to time0 using all lookback</t>
  </si>
  <si>
    <t>3,148 (3.4%)</t>
  </si>
  <si>
    <t>1,680 (3.5%)</t>
  </si>
  <si>
    <t>Rheumatoid Arthritis_P read code ever prior to time0 using all lookback</t>
  </si>
  <si>
    <t>295 (0.6%)</t>
  </si>
  <si>
    <t>595 (0.6%)</t>
  </si>
  <si>
    <t>302 (0.6%)</t>
  </si>
  <si>
    <t>Sjogren Syndrom_P read code ever prior to time0 using all lookback</t>
  </si>
  <si>
    <t>58 (0.1%)</t>
  </si>
  <si>
    <t>117 (0.1%)</t>
  </si>
  <si>
    <t>63 (0.1%)</t>
  </si>
  <si>
    <t>Systemic Lupus erythematodes_P read code ever prior to time0 using all lookback</t>
  </si>
  <si>
    <t>17 (0.0%)</t>
  </si>
  <si>
    <t>45 (0.0%)</t>
  </si>
  <si>
    <t>21 (0.0%)</t>
  </si>
  <si>
    <t xml:space="preserve">*replace A. with A) for AJE parenthesis </t>
  </si>
  <si>
    <t>N=44,598</t>
  </si>
  <si>
    <t>62.7(12.62)</t>
  </si>
  <si>
    <t>62.3(13.05)</t>
  </si>
  <si>
    <t>62.4(12.61)</t>
  </si>
  <si>
    <t>18,710 (41.6%)</t>
  </si>
  <si>
    <t>31,732 (41.0%)</t>
  </si>
  <si>
    <t>18,748 (42.0%)</t>
  </si>
  <si>
    <t>59 (0.1%)</t>
  </si>
  <si>
    <t>854 (1.1%)</t>
  </si>
  <si>
    <t>57 (0.1%)</t>
  </si>
  <si>
    <t>774 (1.7%)</t>
  </si>
  <si>
    <t>7,595 (9.8%)</t>
  </si>
  <si>
    <t>757 (1.7%)</t>
  </si>
  <si>
    <t>1,928 (4.3%)</t>
  </si>
  <si>
    <t>9,430 (12.2%)</t>
  </si>
  <si>
    <t>1,919 (4.3%)</t>
  </si>
  <si>
    <t>3,873 (8.6%)</t>
  </si>
  <si>
    <t>9,574 (12.4%)</t>
  </si>
  <si>
    <t>3,857 (8.6%)</t>
  </si>
  <si>
    <t>3,481 (7.7%)</t>
  </si>
  <si>
    <t>8,630 (11.1%)</t>
  </si>
  <si>
    <t>3,489 (7.8%)</t>
  </si>
  <si>
    <t>4,019 (8.9%)</t>
  </si>
  <si>
    <t>7,729 (10.0%)</t>
  </si>
  <si>
    <t>4,071 (9.1%)</t>
  </si>
  <si>
    <t>3,758 (8.4%)</t>
  </si>
  <si>
    <t>6,963 (9.0%)</t>
  </si>
  <si>
    <t>3,783 (8.5%)</t>
  </si>
  <si>
    <t>3,680 (8.2%)</t>
  </si>
  <si>
    <t>5,429 (7.0%)</t>
  </si>
  <si>
    <t>3,703 (8.3%)</t>
  </si>
  <si>
    <t>3,983 (8.9%)</t>
  </si>
  <si>
    <t>4,672 (6.0%)</t>
  </si>
  <si>
    <t>3,973 (8.9%)</t>
  </si>
  <si>
    <t>3,578 (8.0%)</t>
  </si>
  <si>
    <t>3,483 (4.5%)</t>
  </si>
  <si>
    <t>3,609 (8.1%)</t>
  </si>
  <si>
    <t>3,298 (7.3%)</t>
  </si>
  <si>
    <t>2,755 (3.6%)</t>
  </si>
  <si>
    <t>3,232 (7.2%)</t>
  </si>
  <si>
    <t>3,172 (7.1%)</t>
  </si>
  <si>
    <t>2,238 (2.9%)</t>
  </si>
  <si>
    <t>3,098 (6.9%)</t>
  </si>
  <si>
    <t>3,055 (6.8%)</t>
  </si>
  <si>
    <t>2,159 (2.8%)</t>
  </si>
  <si>
    <t>2,995 (6.7%)</t>
  </si>
  <si>
    <t>2,273 (5.1%)</t>
  </si>
  <si>
    <t>2,048 (2.6%)</t>
  </si>
  <si>
    <t>2,228 (5.0%)</t>
  </si>
  <si>
    <t>2,307 (5.1%)</t>
  </si>
  <si>
    <t>2,181 (2.8%)</t>
  </si>
  <si>
    <t>2,214 (5.0%)</t>
  </si>
  <si>
    <t>1,691 (3.8%)</t>
  </si>
  <si>
    <t>1,674 (2.2%)</t>
  </si>
  <si>
    <t>1,614 (3.6%)</t>
  </si>
  <si>
    <t>33.1(20.44)</t>
  </si>
  <si>
    <t>34.2(22.98)</t>
  </si>
  <si>
    <t>34.5(22.85)</t>
  </si>
  <si>
    <t>3,564 (7.9%)</t>
  </si>
  <si>
    <t>8,739 (11.3%)</t>
  </si>
  <si>
    <t>3,357 (7.5%)</t>
  </si>
  <si>
    <t>10,546 (23.5%)</t>
  </si>
  <si>
    <t>20,426 (26.4%)</t>
  </si>
  <si>
    <t>10,165 (22.8%)</t>
  </si>
  <si>
    <t>25,952 (57.8%)</t>
  </si>
  <si>
    <t>38,279 (49.4%)</t>
  </si>
  <si>
    <t>26,342 (59.1%)</t>
  </si>
  <si>
    <t>4,867 (10.8%)</t>
  </si>
  <si>
    <t>9,970 (12.9%)</t>
  </si>
  <si>
    <t>4,734 (10.6%)</t>
  </si>
  <si>
    <t>18,469 (41.1%)</t>
  </si>
  <si>
    <t>29,418 (38.0%)</t>
  </si>
  <si>
    <t>18,335 (41.1%)</t>
  </si>
  <si>
    <t>6,492 (14.4%)</t>
  </si>
  <si>
    <t>10,496 (13.6%)</t>
  </si>
  <si>
    <t>6,527 (14.6%)</t>
  </si>
  <si>
    <t>18,365 (40.9%)</t>
  </si>
  <si>
    <t>34,962 (45.2%)</t>
  </si>
  <si>
    <t>18,190 (40.8%)</t>
  </si>
  <si>
    <t>1,603 (3.6%)</t>
  </si>
  <si>
    <t>2,538 (3.3%)</t>
  </si>
  <si>
    <t>1,546 (3.5%)</t>
  </si>
  <si>
    <t>12,145 (27.0%)</t>
  </si>
  <si>
    <t>20,114 (26.0%)</t>
  </si>
  <si>
    <t>12,118 (27.2%)</t>
  </si>
  <si>
    <t>5,672 (12.6%)</t>
  </si>
  <si>
    <t>11,104 (14.3%)</t>
  </si>
  <si>
    <t>5,679 (12.7%)</t>
  </si>
  <si>
    <t>10,362 (23.1%)</t>
  </si>
  <si>
    <t>17,819 (23.0%)</t>
  </si>
  <si>
    <t>10,247 (23.0%)</t>
  </si>
  <si>
    <t>16,750 (37.3%)</t>
  </si>
  <si>
    <t>28,377 (36.7%)</t>
  </si>
  <si>
    <t>16,553 (37.1%)</t>
  </si>
  <si>
    <t>4,187 (9.3%)</t>
  </si>
  <si>
    <t>9,572 (12.4%)</t>
  </si>
  <si>
    <t>3,955 (8.9%)</t>
  </si>
  <si>
    <t>13,648 (30.4%)</t>
  </si>
  <si>
    <t>18,668 (24.1%)</t>
  </si>
  <si>
    <t>13,224 (29.7%)</t>
  </si>
  <si>
    <t>26,420 (58.8%)</t>
  </si>
  <si>
    <t>47,576 (61.5%)</t>
  </si>
  <si>
    <t>26,747 (60.0%)</t>
  </si>
  <si>
    <t>674 (1.5%)</t>
  </si>
  <si>
    <t>1,598 (2.1%)</t>
  </si>
  <si>
    <t>671 (1.5%)</t>
  </si>
  <si>
    <t>185 (0.4%)</t>
  </si>
  <si>
    <t>249 (0.3%)</t>
  </si>
  <si>
    <t>168 (0.4%)</t>
  </si>
  <si>
    <t>716 (1.6%)</t>
  </si>
  <si>
    <t>1,036 (1.3%)</t>
  </si>
  <si>
    <t>682 (1.5%)</t>
  </si>
  <si>
    <t>18,492 (41.2%)</t>
  </si>
  <si>
    <t>24,649 (31.8%)</t>
  </si>
  <si>
    <t>18,823 (42.2%)</t>
  </si>
  <si>
    <t>3,346 (7.4%)</t>
  </si>
  <si>
    <t>5,957 (7.7%)</t>
  </si>
  <si>
    <t>3,375 (7.6%)</t>
  </si>
  <si>
    <t>3,493 (7.8%)</t>
  </si>
  <si>
    <t>6,007 (7.8%)</t>
  </si>
  <si>
    <t>3,444 (7.7%)</t>
  </si>
  <si>
    <t>1,104 (2.5%)</t>
  </si>
  <si>
    <t>1,917 (2.5%)</t>
  </si>
  <si>
    <t>1,079 (2.4%)</t>
  </si>
  <si>
    <t>1,059 (2.4%)</t>
  </si>
  <si>
    <t>1,336 (1.7%)</t>
  </si>
  <si>
    <t>988 (2.2%)</t>
  </si>
  <si>
    <t>1,226 (1.6%)</t>
  </si>
  <si>
    <t>1,516 (3.4%)</t>
  </si>
  <si>
    <t>3,086 (6.9%)</t>
  </si>
  <si>
    <t>1,765 (2.3%)</t>
  </si>
  <si>
    <t>3,036 (6.8%)</t>
  </si>
  <si>
    <t>6,922 (15.4%)</t>
  </si>
  <si>
    <t>9,182 (11.9%)</t>
  </si>
  <si>
    <t>6,156 (13.8%)</t>
  </si>
  <si>
    <t>7,066 (15.7%)</t>
  </si>
  <si>
    <t>4,291 (5.5%)</t>
  </si>
  <si>
    <t>2,254 (5.1%)</t>
  </si>
  <si>
    <t>42,711 (95.1%)</t>
  </si>
  <si>
    <t>65,474 (84.6%)</t>
  </si>
  <si>
    <t>42,509 (95.3%)</t>
  </si>
  <si>
    <t>3,222 (7.2%)</t>
  </si>
  <si>
    <t>3,117 (4.0%)</t>
  </si>
  <si>
    <t>3,085 (6.9%)</t>
  </si>
  <si>
    <t>574 (1.3%)</t>
  </si>
  <si>
    <t>715 (0.9%)</t>
  </si>
  <si>
    <t>592 (1.3%)</t>
  </si>
  <si>
    <t>368 (0.8%)</t>
  </si>
  <si>
    <t>513 (0.7%)</t>
  </si>
  <si>
    <t>364 (0.8%)</t>
  </si>
  <si>
    <t>7.0(4.40)</t>
  </si>
  <si>
    <t>1,611 (3.6%)</t>
  </si>
  <si>
    <t>2,692 (3.5%)</t>
  </si>
  <si>
    <t>1,642 (3.7%)</t>
  </si>
  <si>
    <t>33,176 (73.8%)</t>
  </si>
  <si>
    <t>55,037 (71.1%)</t>
  </si>
  <si>
    <t>32,876 (73.7%)</t>
  </si>
  <si>
    <t>2,506 (5.6%)</t>
  </si>
  <si>
    <t>3,992 (5.2%)</t>
  </si>
  <si>
    <t>2,447 (5.5%)</t>
  </si>
  <si>
    <t>4,383 (9.8%)</t>
  </si>
  <si>
    <t>6,909 (8.9%)</t>
  </si>
  <si>
    <t>4,388 (9.8%)</t>
  </si>
  <si>
    <t>3,214 (7.2%)</t>
  </si>
  <si>
    <t>4,776 (6.2%)</t>
  </si>
  <si>
    <t>3,306 (7.4%)</t>
  </si>
  <si>
    <t>3,213 (7.2%)</t>
  </si>
  <si>
    <t>4,794 (6.2%)</t>
  </si>
  <si>
    <t>3,243 (7.3%)</t>
  </si>
  <si>
    <t>2,336 (5.2%)</t>
  </si>
  <si>
    <t>3,665 (4.7%)</t>
  </si>
  <si>
    <t>2,312 (5.2%)</t>
  </si>
  <si>
    <t>1,605 (3.6%)</t>
  </si>
  <si>
    <t>2,670 (3.4%)</t>
  </si>
  <si>
    <t>1,561 (3.5%)</t>
  </si>
  <si>
    <t>280 (0.6%)</t>
  </si>
  <si>
    <t>470 (0.6%)</t>
  </si>
  <si>
    <t>55 (0.1%)</t>
  </si>
  <si>
    <t>97 (0.1%)</t>
  </si>
  <si>
    <t>35 (0.0%)</t>
  </si>
  <si>
    <t>20 (0.0%)</t>
  </si>
  <si>
    <t>program16</t>
  </si>
  <si>
    <t>program17</t>
  </si>
  <si>
    <t>Days between 1st and 2nd Rx</t>
  </si>
  <si>
    <t>Weighted TZD</t>
  </si>
  <si>
    <t>Entry year*</t>
  </si>
  <si>
    <t xml:space="preserve"> &lt;25</t>
  </si>
  <si>
    <t xml:space="preserve"> 25-30</t>
  </si>
  <si>
    <t xml:space="preserve"> &gt;30</t>
  </si>
  <si>
    <t xml:space="preserve"> Current</t>
  </si>
  <si>
    <t xml:space="preserve"> Never</t>
  </si>
  <si>
    <t xml:space="preserve"> Unknown</t>
  </si>
  <si>
    <t xml:space="preserve"> Past/quit</t>
  </si>
  <si>
    <t xml:space="preserve"> &lt;53 mmol/mol (&lt;=7)</t>
  </si>
  <si>
    <t xml:space="preserve"> 53-64 mmol/mol (7-8)</t>
  </si>
  <si>
    <t xml:space="preserve"> &gt;64 mmol/mol (&gt;8)</t>
  </si>
  <si>
    <t xml:space="preserve"> Missing/unknown</t>
  </si>
  <si>
    <t xml:space="preserve">Neuropathy </t>
  </si>
  <si>
    <t xml:space="preserve">Myocardial infarction </t>
  </si>
  <si>
    <t xml:space="preserve"> DPP4i</t>
  </si>
  <si>
    <t>Thiazolidinediones*</t>
  </si>
  <si>
    <t xml:space="preserve">Alpha-glucosidase inhibitor </t>
  </si>
  <si>
    <t>Total number of unique non-diabetic drugs in the year before cohort entry, mean (SD)</t>
  </si>
  <si>
    <t xml:space="preserve">HRT combination </t>
  </si>
  <si>
    <t xml:space="preserve">Sjogren Syndrome </t>
  </si>
  <si>
    <t>Ta</t>
  </si>
  <si>
    <t>Weighted SGLT2i</t>
  </si>
  <si>
    <t xml:space="preserve">TVE PS Plots program 17 </t>
  </si>
  <si>
    <t>N=72,485</t>
  </si>
  <si>
    <t>N=23,317</t>
  </si>
  <si>
    <t>N=71,034</t>
  </si>
  <si>
    <t>63.3(12.52)</t>
  </si>
  <si>
    <t>61.1(11.99)</t>
  </si>
  <si>
    <t>62.2(12.17)</t>
  </si>
  <si>
    <t>30,213 (41.7%)</t>
  </si>
  <si>
    <t>9,181 (39.4%)</t>
  </si>
  <si>
    <t>29,151 (41.0%)</t>
  </si>
  <si>
    <t>167 (0.2%)</t>
  </si>
  <si>
    <t>6,627 (28.4%)</t>
  </si>
  <si>
    <t>1,137 (1.6%)</t>
  </si>
  <si>
    <t>3,907 (16.8%)</t>
  </si>
  <si>
    <t>1,140 (1.6%)</t>
  </si>
  <si>
    <t>3,508 (4.8%)</t>
  </si>
  <si>
    <t>3,780 (16.2%)</t>
  </si>
  <si>
    <t>3,546 (5.0%)</t>
  </si>
  <si>
    <t>6,099 (8.4%)</t>
  </si>
  <si>
    <t>3,048 (13.1%)</t>
  </si>
  <si>
    <t>6,199 (8.7%)</t>
  </si>
  <si>
    <t>6,043 (8.3%)</t>
  </si>
  <si>
    <t>1,794 (7.7%)</t>
  </si>
  <si>
    <t>6,076 (8.6%)</t>
  </si>
  <si>
    <t>7,236 (10.0%)</t>
  </si>
  <si>
    <t>841 (3.6%)</t>
  </si>
  <si>
    <t>7,149 (10.1%)</t>
  </si>
  <si>
    <t>6,821 (9.4%)</t>
  </si>
  <si>
    <t>645 (2.8%)</t>
  </si>
  <si>
    <t>6,640 (9.3%)</t>
  </si>
  <si>
    <t>6,683 (9.2%)</t>
  </si>
  <si>
    <t>479 (2.1%)</t>
  </si>
  <si>
    <t>6,792 (9.6%)</t>
  </si>
  <si>
    <t>6,668 (9.2%)</t>
  </si>
  <si>
    <t>505 (2.2%)</t>
  </si>
  <si>
    <t>6,487 (9.1%)</t>
  </si>
  <si>
    <t>5,763 (8.0%)</t>
  </si>
  <si>
    <t>386 (1.7%)</t>
  </si>
  <si>
    <t>5,704 (8.0%)</t>
  </si>
  <si>
    <t>5,113 (7.1%)</t>
  </si>
  <si>
    <t>357 (1.5%)</t>
  </si>
  <si>
    <t>4,814 (6.8%)</t>
  </si>
  <si>
    <t>4,832 (6.7%)</t>
  </si>
  <si>
    <t>312 (1.3%)</t>
  </si>
  <si>
    <t>4,732 (6.7%)</t>
  </si>
  <si>
    <t>4,477 (6.2%)</t>
  </si>
  <si>
    <t>276 (1.2%)</t>
  </si>
  <si>
    <t>4,210 (5.9%)</t>
  </si>
  <si>
    <t>2,942 (4.1%)</t>
  </si>
  <si>
    <t>144 (0.6%)</t>
  </si>
  <si>
    <t>2,593 (3.7%)</t>
  </si>
  <si>
    <t>2,915 (4.0%)</t>
  </si>
  <si>
    <t>116 (0.5%)</t>
  </si>
  <si>
    <t>2,814 (4.0%)</t>
  </si>
  <si>
    <t>2,081 (2.9%)</t>
  </si>
  <si>
    <t>100 (0.4%)</t>
  </si>
  <si>
    <t>1,971 (2.8%)</t>
  </si>
  <si>
    <t>33.1(20.64)</t>
  </si>
  <si>
    <t>34.2(21.15)</t>
  </si>
  <si>
    <t>34.2(21.54)</t>
  </si>
  <si>
    <t>6,894 (9.5%)</t>
  </si>
  <si>
    <t>2,440 (10.5%)</t>
  </si>
  <si>
    <t>6,408 (9.0%)</t>
  </si>
  <si>
    <t>18,818 (26.0%)</t>
  </si>
  <si>
    <t>6,907 (29.6%)</t>
  </si>
  <si>
    <t>17,566 (24.7%)</t>
  </si>
  <si>
    <t>39,287 (54.2%)</t>
  </si>
  <si>
    <t>12,568 (53.9%)</t>
  </si>
  <si>
    <t>39,912 (56.2%)</t>
  </si>
  <si>
    <t>7,486 (10.3%)</t>
  </si>
  <si>
    <t>1,402 (6.0%)</t>
  </si>
  <si>
    <t>7,148 (10.1%)</t>
  </si>
  <si>
    <t>29,165 (40.2%)</t>
  </si>
  <si>
    <t>9,346 (40.1%)</t>
  </si>
  <si>
    <t>29,042 (40.9%)</t>
  </si>
  <si>
    <t>10,925 (15.1%)</t>
  </si>
  <si>
    <t>3,330 (14.3%)</t>
  </si>
  <si>
    <t>10,173 (14.3%)</t>
  </si>
  <si>
    <t>29,768 (41.1%)</t>
  </si>
  <si>
    <t>10,014 (42.9%)</t>
  </si>
  <si>
    <t>29,208 (41.1%)</t>
  </si>
  <si>
    <t>2,627 (3.6%)</t>
  </si>
  <si>
    <t>627 (2.7%)</t>
  </si>
  <si>
    <t>2,610 (3.7%)</t>
  </si>
  <si>
    <t>19,948 (27.5%)</t>
  </si>
  <si>
    <t>6,841 (29.3%)</t>
  </si>
  <si>
    <t>19,286 (27.2%)</t>
  </si>
  <si>
    <t>9,189 (12.7%)</t>
  </si>
  <si>
    <t>3,465 (14.9%)</t>
  </si>
  <si>
    <t>9,069 (12.8%)</t>
  </si>
  <si>
    <t>16,117 (22.2%)</t>
  </si>
  <si>
    <t>3,800 (16.3%)</t>
  </si>
  <si>
    <t>16,136 (22.7%)</t>
  </si>
  <si>
    <t>27,231 (37.6%)</t>
  </si>
  <si>
    <t>9,211 (39.5%)</t>
  </si>
  <si>
    <t>26,543 (37.4%)</t>
  </si>
  <si>
    <t>4,847 (6.7%)</t>
  </si>
  <si>
    <t>1,425 (6.1%)</t>
  </si>
  <si>
    <t>4,009 (5.6%)</t>
  </si>
  <si>
    <t>19,150 (26.4%)</t>
  </si>
  <si>
    <t>5,763 (24.7%)</t>
  </si>
  <si>
    <t>17,714 (24.9%)</t>
  </si>
  <si>
    <t>47,512 (65.5%)</t>
  </si>
  <si>
    <t>15,890 (68.1%)</t>
  </si>
  <si>
    <t>48,506 (68.3%)</t>
  </si>
  <si>
    <t>976 (1.3%)</t>
  </si>
  <si>
    <t>239 (1.0%)</t>
  </si>
  <si>
    <t>804 (1.1%)</t>
  </si>
  <si>
    <t>373 (0.5%)</t>
  </si>
  <si>
    <t>118 (0.5%)</t>
  </si>
  <si>
    <t>344 (0.5%)</t>
  </si>
  <si>
    <t>1,470 (2.0%)</t>
  </si>
  <si>
    <t>495 (2.1%)</t>
  </si>
  <si>
    <t>1,653 (2.3%)</t>
  </si>
  <si>
    <t>32,191 (44.4%)</t>
  </si>
  <si>
    <t>6,962 (29.9%)</t>
  </si>
  <si>
    <t>32,314 (45.5%)</t>
  </si>
  <si>
    <t>5,047 (7.0%)</t>
  </si>
  <si>
    <t>1,099 (4.7%)</t>
  </si>
  <si>
    <t>5,309 (7.5%)</t>
  </si>
  <si>
    <t>5,887 (8.1%)</t>
  </si>
  <si>
    <t>1,354 (5.8%)</t>
  </si>
  <si>
    <t>5,337 (7.5%)</t>
  </si>
  <si>
    <t>1,950 (2.7%)</t>
  </si>
  <si>
    <t>535 (2.3%)</t>
  </si>
  <si>
    <t>1,916 (2.7%)</t>
  </si>
  <si>
    <t>1,990 (2.7%)</t>
  </si>
  <si>
    <t>498 (2.1%)</t>
  </si>
  <si>
    <t>3,151 (4.4%)</t>
  </si>
  <si>
    <t>460 (2.0%)</t>
  </si>
  <si>
    <t>4,681 (6.6%)</t>
  </si>
  <si>
    <t>4,794 (6.6%)</t>
  </si>
  <si>
    <t>562 (2.4%)</t>
  </si>
  <si>
    <t>5,767 (8.1%)</t>
  </si>
  <si>
    <t>7,513 (10.4%)</t>
  </si>
  <si>
    <t>1,174 (5.0%)</t>
  </si>
  <si>
    <t>1,392 (2.0%)</t>
  </si>
  <si>
    <t>38,062 (52.5%)</t>
  </si>
  <si>
    <t>14,378 (61.7%)</t>
  </si>
  <si>
    <t>40,378 (56.8%)</t>
  </si>
  <si>
    <t>69,500 (95.9%)</t>
  </si>
  <si>
    <t>22,457 (96.3%)</t>
  </si>
  <si>
    <t>68,589 (96.6%)</t>
  </si>
  <si>
    <t>5,278 (7.3%)</t>
  </si>
  <si>
    <t>1,633 (7.0%)</t>
  </si>
  <si>
    <t>5,734 (8.1%)</t>
  </si>
  <si>
    <t>1,005 (1.4%)</t>
  </si>
  <si>
    <t>417 (1.8%)</t>
  </si>
  <si>
    <t>1,327 (1.9%)</t>
  </si>
  <si>
    <t>815 (1.1%)</t>
  </si>
  <si>
    <t>496 (2.1%)</t>
  </si>
  <si>
    <t>779 (1.1%)</t>
  </si>
  <si>
    <t>7.0(4.19)</t>
  </si>
  <si>
    <t>7.0(4.16)</t>
  </si>
  <si>
    <t>2,585 (3.6%)</t>
  </si>
  <si>
    <t>730 (3.1%)</t>
  </si>
  <si>
    <t>2,574 (3.6%)</t>
  </si>
  <si>
    <t>53,033 (73.2%)</t>
  </si>
  <si>
    <t>16,122 (69.1%)</t>
  </si>
  <si>
    <t>52,312 (73.6%)</t>
  </si>
  <si>
    <t>4,029 (5.6%)</t>
  </si>
  <si>
    <t>1,199 (5.1%)</t>
  </si>
  <si>
    <t>3,717 (5.2%)</t>
  </si>
  <si>
    <t>7,063 (9.7%)</t>
  </si>
  <si>
    <t>2,021 (8.7%)</t>
  </si>
  <si>
    <t>6,718 (9.5%)</t>
  </si>
  <si>
    <t>4,897 (6.8%)</t>
  </si>
  <si>
    <t>1,316 (5.6%)</t>
  </si>
  <si>
    <t>5,089 (7.2%)</t>
  </si>
  <si>
    <t>4,744 (6.5%)</t>
  </si>
  <si>
    <t>1,148 (4.9%)</t>
  </si>
  <si>
    <t>4,575 (6.4%)</t>
  </si>
  <si>
    <t>3,660 (5.0%)</t>
  </si>
  <si>
    <t>988 (4.2%)</t>
  </si>
  <si>
    <t>3,683 (5.2%)</t>
  </si>
  <si>
    <t>2,591 (3.6%)</t>
  </si>
  <si>
    <t>691 (3.0%)</t>
  </si>
  <si>
    <t>2,503 (3.5%)</t>
  </si>
  <si>
    <t>463 (0.6%)</t>
  </si>
  <si>
    <t>123 (0.5%)</t>
  </si>
  <si>
    <t>374 (0.5%)</t>
  </si>
  <si>
    <t>88 (0.1%)</t>
  </si>
  <si>
    <t>15 (0.1%)</t>
  </si>
  <si>
    <t>116 (0.2%)</t>
  </si>
  <si>
    <t>38 (0.1%)</t>
  </si>
  <si>
    <t>11 (0.0%)</t>
  </si>
  <si>
    <t>52 (0.1%)</t>
  </si>
  <si>
    <t>72,485 (100%)</t>
  </si>
  <si>
    <t>23,317 (100%)</t>
  </si>
  <si>
    <t>71,034 (100%)</t>
  </si>
  <si>
    <t>N=59,154</t>
  </si>
  <si>
    <t>N=37,853</t>
  </si>
  <si>
    <t>N=46,329</t>
  </si>
  <si>
    <t>65.1(12.72)</t>
  </si>
  <si>
    <t>60.1(12.06)</t>
  </si>
  <si>
    <t>64.5(12.39)</t>
  </si>
  <si>
    <t>24,246 (41.0%)</t>
  </si>
  <si>
    <t>14,269 (37.7%)</t>
  </si>
  <si>
    <t>19,267 (41.6%)</t>
  </si>
  <si>
    <t>9,268 (15.7%)</t>
  </si>
  <si>
    <t>8,246 (13.9%)</t>
  </si>
  <si>
    <t>532 (1.4%)</t>
  </si>
  <si>
    <t>7,288 (15.7%)</t>
  </si>
  <si>
    <t>7,624 (12.9%)</t>
  </si>
  <si>
    <t>2,059 (5.4%)</t>
  </si>
  <si>
    <t>6,532 (14.1%)</t>
  </si>
  <si>
    <t>7,419 (12.5%)</t>
  </si>
  <si>
    <t>3,133 (8.3%)</t>
  </si>
  <si>
    <t>6,590 (14.2%)</t>
  </si>
  <si>
    <t>6,129 (10.4%)</t>
  </si>
  <si>
    <t>3,438 (9.1%)</t>
  </si>
  <si>
    <t>6,066 (13.1%)</t>
  </si>
  <si>
    <t>5,127 (8.7%)</t>
  </si>
  <si>
    <t>3,533 (9.3%)</t>
  </si>
  <si>
    <t>4,709 (10.2%)</t>
  </si>
  <si>
    <t>4,736 (8.0%)</t>
  </si>
  <si>
    <t>3,567 (9.4%)</t>
  </si>
  <si>
    <t>4,574 (9.9%)</t>
  </si>
  <si>
    <t>4,160 (7.0%)</t>
  </si>
  <si>
    <t>4,176 (11.0%)</t>
  </si>
  <si>
    <t>3,942 (8.5%)</t>
  </si>
  <si>
    <t>2,574 (4.4%)</t>
  </si>
  <si>
    <t>3,427 (9.1%)</t>
  </si>
  <si>
    <t>2,521 (5.4%)</t>
  </si>
  <si>
    <t>2,379 (4.0%)</t>
  </si>
  <si>
    <t>6,309 (16.7%)</t>
  </si>
  <si>
    <t>2,532 (5.5%)</t>
  </si>
  <si>
    <t>1,492 (2.5%)</t>
  </si>
  <si>
    <t>7,679 (20.3%)</t>
  </si>
  <si>
    <t>1,578 (3.4%)</t>
  </si>
  <si>
    <t>32.8(20.67)</t>
  </si>
  <si>
    <t>33.7(19.92)</t>
  </si>
  <si>
    <t>32.6(19.46)</t>
  </si>
  <si>
    <t>5,982 (10.1%)</t>
  </si>
  <si>
    <t>2,425 (6.4%)</t>
  </si>
  <si>
    <t>4,500 (9.7%)</t>
  </si>
  <si>
    <t>15,591 (26.4%)</t>
  </si>
  <si>
    <t>6,612 (17.5%)</t>
  </si>
  <si>
    <t>12,277 (26.5%)</t>
  </si>
  <si>
    <t>30,551 (51.6%)</t>
  </si>
  <si>
    <t>22,581 (59.7%)</t>
  </si>
  <si>
    <t>23,818 (51.4%)</t>
  </si>
  <si>
    <t>7,030 (11.9%)</t>
  </si>
  <si>
    <t>6,235 (16.5%)</t>
  </si>
  <si>
    <t>5,734 (12.4%)</t>
  </si>
  <si>
    <t>23,603 (39.9%)</t>
  </si>
  <si>
    <t>14,848 (39.2%)</t>
  </si>
  <si>
    <t>19,071 (41.2%)</t>
  </si>
  <si>
    <t>9,352 (15.8%)</t>
  </si>
  <si>
    <t>4,932 (13.0%)</t>
  </si>
  <si>
    <t>7,405 (16.0%)</t>
  </si>
  <si>
    <t>23,891 (40.4%)</t>
  </si>
  <si>
    <t>16,679 (44.1%)</t>
  </si>
  <si>
    <t>18,036 (38.9%)</t>
  </si>
  <si>
    <t>2,308 (3.9%)</t>
  </si>
  <si>
    <t>1,394 (3.7%)</t>
  </si>
  <si>
    <t>1,817 (3.9%)</t>
  </si>
  <si>
    <t>15,759 (26.6%)</t>
  </si>
  <si>
    <t>9,228 (24.4%)</t>
  </si>
  <si>
    <t>12,394 (26.8%)</t>
  </si>
  <si>
    <t>7,055 (11.9%)</t>
  </si>
  <si>
    <t>4,342 (11.5%)</t>
  </si>
  <si>
    <t>5,709 (12.3%)</t>
  </si>
  <si>
    <t>13,923 (23.5%)</t>
  </si>
  <si>
    <t>12,100 (32.0%)</t>
  </si>
  <si>
    <t>10,944 (23.6%)</t>
  </si>
  <si>
    <t>22,417 (37.9%)</t>
  </si>
  <si>
    <t>12,183 (32.2%)</t>
  </si>
  <si>
    <t>17,283 (37.3%)</t>
  </si>
  <si>
    <t>4,583 (7.7%)</t>
  </si>
  <si>
    <t>5,119 (13.5%)</t>
  </si>
  <si>
    <t>2,747 (5.9%)</t>
  </si>
  <si>
    <t>15,175 (25.7%)</t>
  </si>
  <si>
    <t>6,637 (17.5%)</t>
  </si>
  <si>
    <t>11,722 (25.3%)</t>
  </si>
  <si>
    <t>38,501 (65.1%)</t>
  </si>
  <si>
    <t>24,193 (63.9%)</t>
  </si>
  <si>
    <t>31,283 (67.5%)</t>
  </si>
  <si>
    <t>895 (1.5%)</t>
  </si>
  <si>
    <t>1,904 (5.0%)</t>
  </si>
  <si>
    <t>578 (1.2%)</t>
  </si>
  <si>
    <t>336 (0.6%)</t>
  </si>
  <si>
    <t>149 (0.4%)</t>
  </si>
  <si>
    <t>239 (0.5%)</t>
  </si>
  <si>
    <t>1,300 (2.2%)</t>
  </si>
  <si>
    <t>644 (1.7%)</t>
  </si>
  <si>
    <t>1,039 (2.2%)</t>
  </si>
  <si>
    <t>28,530 (48.2%)</t>
  </si>
  <si>
    <t>18,413 (48.6%)</t>
  </si>
  <si>
    <t>22,974 (49.6%)</t>
  </si>
  <si>
    <t>4,896 (8.3%)</t>
  </si>
  <si>
    <t>3,980 (10.5%)</t>
  </si>
  <si>
    <t>3,070 (6.6%)</t>
  </si>
  <si>
    <t>5,488 (9.3%)</t>
  </si>
  <si>
    <t>2,599 (6.9%)</t>
  </si>
  <si>
    <t>5,149 (11.1%)</t>
  </si>
  <si>
    <t>1,843 (3.1%)</t>
  </si>
  <si>
    <t>861 (2.3%)</t>
  </si>
  <si>
    <t>1,469 (3.2%)</t>
  </si>
  <si>
    <t>1,600 (2.7%)</t>
  </si>
  <si>
    <t>5,815 (15.4%)</t>
  </si>
  <si>
    <t>2,642 (5.7%)</t>
  </si>
  <si>
    <t>5,030 (13.3%)</t>
  </si>
  <si>
    <t>5,254 (11.3%)</t>
  </si>
  <si>
    <t>487 (0.8%)</t>
  </si>
  <si>
    <t>10,034 (17.0%)</t>
  </si>
  <si>
    <t>5,667 (15.0%)</t>
  </si>
  <si>
    <t>7,839 (16.9%)</t>
  </si>
  <si>
    <t>30,944 (52.3%)</t>
  </si>
  <si>
    <t>15,871 (41.9%)</t>
  </si>
  <si>
    <t>22,938 (49.5%)</t>
  </si>
  <si>
    <t>56,117 (94.9%)</t>
  </si>
  <si>
    <t>32,126 (84.9%)</t>
  </si>
  <si>
    <t>44,671 (96.4%)</t>
  </si>
  <si>
    <t>4,592 (7.8%)</t>
  </si>
  <si>
    <t>6,179 (16.3%)</t>
  </si>
  <si>
    <t>4,104 (8.9%)</t>
  </si>
  <si>
    <t>647 (1.1%)</t>
  </si>
  <si>
    <t>333 (0.9%)</t>
  </si>
  <si>
    <t>406 (0.9%)</t>
  </si>
  <si>
    <t>655 (1.1%)</t>
  </si>
  <si>
    <t>321 (0.8%)</t>
  </si>
  <si>
    <t>507 (1.1%)</t>
  </si>
  <si>
    <t>7.2(4.30)</t>
  </si>
  <si>
    <t>7.0(4.37)</t>
  </si>
  <si>
    <t>2,259 (3.8%)</t>
  </si>
  <si>
    <t>1,433 (3.8%)</t>
  </si>
  <si>
    <t>1,635 (3.5%)</t>
  </si>
  <si>
    <t>43,417 (73.4%)</t>
  </si>
  <si>
    <t>28,262 (74.7%)</t>
  </si>
  <si>
    <t>34,462 (74.4%)</t>
  </si>
  <si>
    <t>3,175 (5.4%)</t>
  </si>
  <si>
    <t>1,874 (5.0%)</t>
  </si>
  <si>
    <t>2,761 (6.0%)</t>
  </si>
  <si>
    <t>5,831 (9.9%)</t>
  </si>
  <si>
    <t>3,159 (8.3%)</t>
  </si>
  <si>
    <t>4,759 (10.3%)</t>
  </si>
  <si>
    <t>3,674 (6.2%)</t>
  </si>
  <si>
    <t>3,422 (9.0%)</t>
  </si>
  <si>
    <t>2,990 (6.5%)</t>
  </si>
  <si>
    <t>3,574 (6.0%)</t>
  </si>
  <si>
    <t>3,725 (9.8%)</t>
  </si>
  <si>
    <t>3,030 (6.5%)</t>
  </si>
  <si>
    <t>3,032 (5.1%)</t>
  </si>
  <si>
    <t>2,079 (5.5%)</t>
  </si>
  <si>
    <t>2,306 (5.0%)</t>
  </si>
  <si>
    <t>2,238 (3.8%)</t>
  </si>
  <si>
    <t>1,215 (3.2%)</t>
  </si>
  <si>
    <t>1,562 (3.4%)</t>
  </si>
  <si>
    <t>400 (0.7%)</t>
  </si>
  <si>
    <t>222 (0.6%)</t>
  </si>
  <si>
    <t>342 (0.7%)</t>
  </si>
  <si>
    <t>70 (0.1%)</t>
  </si>
  <si>
    <t>46 (0.1%)</t>
  </si>
  <si>
    <t>105 (0.2%)</t>
  </si>
  <si>
    <t>32 (0.1%)</t>
  </si>
  <si>
    <t>28 (0.1%)</t>
  </si>
  <si>
    <t>16 (0.0%)</t>
  </si>
  <si>
    <t>N=68,041</t>
  </si>
  <si>
    <t>62.9(12.47)</t>
  </si>
  <si>
    <t>62.6(12.46)</t>
  </si>
  <si>
    <t>28,290 (41.6%)</t>
  </si>
  <si>
    <t>31,393 (40.9%)</t>
  </si>
  <si>
    <t>28,670 (42.1%)</t>
  </si>
  <si>
    <t>172 (0.2%)</t>
  </si>
  <si>
    <t>1,009 (1.5%)</t>
  </si>
  <si>
    <t>7,562 (9.9%)</t>
  </si>
  <si>
    <t>987 (1.5%)</t>
  </si>
  <si>
    <t>3,066 (4.5%)</t>
  </si>
  <si>
    <t>9,372 (12.2%)</t>
  </si>
  <si>
    <t>3,054 (4.5%)</t>
  </si>
  <si>
    <t>6,166 (9.1%)</t>
  </si>
  <si>
    <t>9,562 (12.5%)</t>
  </si>
  <si>
    <t>6,157 (9.0%)</t>
  </si>
  <si>
    <t>5,892 (8.7%)</t>
  </si>
  <si>
    <t>8,667 (11.3%)</t>
  </si>
  <si>
    <t>5,924 (8.7%)</t>
  </si>
  <si>
    <t>6,815 (10.0%)</t>
  </si>
  <si>
    <t>7,719 (10.1%)</t>
  </si>
  <si>
    <t>6,840 (10.1%)</t>
  </si>
  <si>
    <t>6,339 (9.3%)</t>
  </si>
  <si>
    <t>6,962 (9.1%)</t>
  </si>
  <si>
    <t>6,396 (9.4%)</t>
  </si>
  <si>
    <t>6,135 (9.0%)</t>
  </si>
  <si>
    <t>5,422 (7.1%)</t>
  </si>
  <si>
    <t>6,182 (9.1%)</t>
  </si>
  <si>
    <t>6,287 (9.2%)</t>
  </si>
  <si>
    <t>4,668 (6.1%)</t>
  </si>
  <si>
    <t>6,282 (9.2%)</t>
  </si>
  <si>
    <t>5,315 (7.8%)</t>
  </si>
  <si>
    <t>3,466 (4.5%)</t>
  </si>
  <si>
    <t>5,366 (7.9%)</t>
  </si>
  <si>
    <t>4,694 (6.9%)</t>
  </si>
  <si>
    <t>2,749 (3.6%)</t>
  </si>
  <si>
    <t>4,671 (6.9%)</t>
  </si>
  <si>
    <t>4,369 (6.4%)</t>
  </si>
  <si>
    <t>2,244 (2.9%)</t>
  </si>
  <si>
    <t>4,354 (6.4%)</t>
  </si>
  <si>
    <t>4,098 (6.0%)</t>
  </si>
  <si>
    <t>2,173 (2.8%)</t>
  </si>
  <si>
    <t>4,069 (6.0%)</t>
  </si>
  <si>
    <t>2,883 (4.2%)</t>
  </si>
  <si>
    <t>2,052 (2.7%)</t>
  </si>
  <si>
    <t>2,855 (4.2%)</t>
  </si>
  <si>
    <t>2,196 (2.9%)</t>
  </si>
  <si>
    <t>2,830 (4.2%)</t>
  </si>
  <si>
    <t>2,091 (3.1%)</t>
  </si>
  <si>
    <t>1,685 (2.2%)</t>
  </si>
  <si>
    <t>2,060 (3.0%)</t>
  </si>
  <si>
    <t>33.0(20.44)</t>
  </si>
  <si>
    <t>34.7(22.95)</t>
  </si>
  <si>
    <t>5,475 (8.0%)</t>
  </si>
  <si>
    <t>8,738 (11.4%)</t>
  </si>
  <si>
    <t>5,207 (7.7%)</t>
  </si>
  <si>
    <t>16,568 (24.3%)</t>
  </si>
  <si>
    <t>20,432 (26.6%)</t>
  </si>
  <si>
    <t>16,079 (23.6%)</t>
  </si>
  <si>
    <t>38,992 (57.3%)</t>
  </si>
  <si>
    <t>37,644 (49.1%)</t>
  </si>
  <si>
    <t>39,975 (58.8%)</t>
  </si>
  <si>
    <t>7,023 (10.3%)</t>
  </si>
  <si>
    <t>9,857 (12.9%)</t>
  </si>
  <si>
    <t>6,780 (10.0%)</t>
  </si>
  <si>
    <t>27,740 (40.8%)</t>
  </si>
  <si>
    <t>29,128 (38.0%)</t>
  </si>
  <si>
    <t>27,853 (40.9%)</t>
  </si>
  <si>
    <t>10,019 (14.7%)</t>
  </si>
  <si>
    <t>10,400 (13.6%)</t>
  </si>
  <si>
    <t>10,133 (14.9%)</t>
  </si>
  <si>
    <t>27,823 (40.9%)</t>
  </si>
  <si>
    <t>34,616 (45.1%)</t>
  </si>
  <si>
    <t>27,607 (40.6%)</t>
  </si>
  <si>
    <t>2,476 (3.6%)</t>
  </si>
  <si>
    <t>2,527 (3.3%)</t>
  </si>
  <si>
    <t>2,448 (3.6%)</t>
  </si>
  <si>
    <t>18,429 (27.1%)</t>
  </si>
  <si>
    <t>19,931 (26.0%)</t>
  </si>
  <si>
    <t>18,606 (27.3%)</t>
  </si>
  <si>
    <t>8,782 (12.9%)</t>
  </si>
  <si>
    <t>10,986 (14.3%)</t>
  </si>
  <si>
    <t>8,865 (13.0%)</t>
  </si>
  <si>
    <t>15,047 (22.1%)</t>
  </si>
  <si>
    <t>17,654 (23.0%)</t>
  </si>
  <si>
    <t>14,891 (21.9%)</t>
  </si>
  <si>
    <t>25,800 (37.9%)</t>
  </si>
  <si>
    <t>28,100 (36.7%)</t>
  </si>
  <si>
    <t>25,680 (37.7%)</t>
  </si>
  <si>
    <t>5,613 (8.2%)</t>
  </si>
  <si>
    <t>9,048 (11.8%)</t>
  </si>
  <si>
    <t>5,276 (7.8%)</t>
  </si>
  <si>
    <t>18,515 (27.2%)</t>
  </si>
  <si>
    <t>18,206 (23.7%)</t>
  </si>
  <si>
    <t>18,106 (26.6%)</t>
  </si>
  <si>
    <t>43,033 (63.2%)</t>
  </si>
  <si>
    <t>47,850 (62.4%)</t>
  </si>
  <si>
    <t>43,769 (64.3%)</t>
  </si>
  <si>
    <t>897 (1.3%)</t>
  </si>
  <si>
    <t>1,567 (2.0%)</t>
  </si>
  <si>
    <t>890 (1.3%)</t>
  </si>
  <si>
    <t>278 (0.4%)</t>
  </si>
  <si>
    <t>236 (0.3%)</t>
  </si>
  <si>
    <t>258 (0.4%)</t>
  </si>
  <si>
    <t>1,118 (1.6%)</t>
  </si>
  <si>
    <t>1,018 (1.3%)</t>
  </si>
  <si>
    <t>1,097 (1.6%)</t>
  </si>
  <si>
    <t>29,234 (43.0%)</t>
  </si>
  <si>
    <t>24,612 (32.1%)</t>
  </si>
  <si>
    <t>29,958 (44.0%)</t>
  </si>
  <si>
    <t>5,139 (7.6%)</t>
  </si>
  <si>
    <t>5,891 (7.7%)</t>
  </si>
  <si>
    <t>5,237 (7.7%)</t>
  </si>
  <si>
    <t>5,331 (7.8%)</t>
  </si>
  <si>
    <t>5,976 (7.8%)</t>
  </si>
  <si>
    <t>5,292 (7.8%)</t>
  </si>
  <si>
    <t>1,739 (2.6%)</t>
  </si>
  <si>
    <t>1,904 (2.5%)</t>
  </si>
  <si>
    <t>1,737 (2.6%)</t>
  </si>
  <si>
    <t>1,601 (2.4%)</t>
  </si>
  <si>
    <t>1,339 (1.7%)</t>
  </si>
  <si>
    <t>1,570 (2.3%)</t>
  </si>
  <si>
    <t>1,234 (1.6%)</t>
  </si>
  <si>
    <t>2,257 (3.3%)</t>
  </si>
  <si>
    <t>4,225 (6.2%)</t>
  </si>
  <si>
    <t>1,770 (2.3%)</t>
  </si>
  <si>
    <t>4,167 (6.1%)</t>
  </si>
  <si>
    <t>11,315 (16.6%)</t>
  </si>
  <si>
    <t>8,549 (11.2%)</t>
  </si>
  <si>
    <t>9,156 (13.5%)</t>
  </si>
  <si>
    <t>30,162 (44.3%)</t>
  </si>
  <si>
    <t>4,043 (5.3%)</t>
  </si>
  <si>
    <t>3,330 (4.9%)</t>
  </si>
  <si>
    <t>65,251 (95.9%)</t>
  </si>
  <si>
    <t>64,772 (84.5%)</t>
  </si>
  <si>
    <t>65,404 (96.1%)</t>
  </si>
  <si>
    <t>4,075 (6.0%)</t>
  </si>
  <si>
    <t>2,993 (3.9%)</t>
  </si>
  <si>
    <t>4,037 (5.9%)</t>
  </si>
  <si>
    <t>802 (1.2%)</t>
  </si>
  <si>
    <t>676 (0.9%)</t>
  </si>
  <si>
    <t>792 (1.2%)</t>
  </si>
  <si>
    <t>510 (0.7%)</t>
  </si>
  <si>
    <t>524 (0.8%)</t>
  </si>
  <si>
    <t>7.1(4.42)</t>
  </si>
  <si>
    <t>2,510 (3.7%)</t>
  </si>
  <si>
    <t>2,671 (3.5%)</t>
  </si>
  <si>
    <t>2,563 (3.8%)</t>
  </si>
  <si>
    <t>50,837 (74.7%)</t>
  </si>
  <si>
    <t>54,638 (71.3%)</t>
  </si>
  <si>
    <t>50,747 (74.6%)</t>
  </si>
  <si>
    <t>3,928 (5.8%)</t>
  </si>
  <si>
    <t>3,958 (5.2%)</t>
  </si>
  <si>
    <t>3,894 (5.7%)</t>
  </si>
  <si>
    <t>6,812 (10.0%)</t>
  </si>
  <si>
    <t>6,858 (8.9%)</t>
  </si>
  <si>
    <t>6,940 (10.2%)</t>
  </si>
  <si>
    <t>4,866 (7.1%)</t>
  </si>
  <si>
    <t>4,735 (6.2%)</t>
  </si>
  <si>
    <t>5,068 (7.4%)</t>
  </si>
  <si>
    <t>4,737 (7.0%)</t>
  </si>
  <si>
    <t>4,755 (6.2%)</t>
  </si>
  <si>
    <t>4,885 (7.2%)</t>
  </si>
  <si>
    <t>3,507 (5.2%)</t>
  </si>
  <si>
    <t>3,631 (4.7%)</t>
  </si>
  <si>
    <t>3,526 (5.2%)</t>
  </si>
  <si>
    <t>2,477 (3.6%)</t>
  </si>
  <si>
    <t>2,646 (3.5%)</t>
  </si>
  <si>
    <t>2,436 (3.6%)</t>
  </si>
  <si>
    <t>455 (0.7%)</t>
  </si>
  <si>
    <t>474 (0.6%)</t>
  </si>
  <si>
    <t>460 (0.7%)</t>
  </si>
  <si>
    <t>90 (0.1%)</t>
  </si>
  <si>
    <t>94 (0.1%)</t>
  </si>
  <si>
    <t>27 (0.0%)</t>
  </si>
  <si>
    <t>32 (0.0%)</t>
  </si>
  <si>
    <t>Ever IBD diagnosis</t>
  </si>
  <si>
    <t>28 (0.0%)</t>
  </si>
  <si>
    <t>Crohns disease read code ever prior to time0 using all lookback</t>
  </si>
  <si>
    <t>12 (0.0%)</t>
  </si>
  <si>
    <t>Ulcerative colitis read code ever prior to time0 using all lookback</t>
  </si>
  <si>
    <t>ACNU_Table1notrim_dpp4i_TZD_20DEC2024</t>
  </si>
  <si>
    <t>ACNU_Table1notrim_dpp4i_SU_20DEC2024</t>
  </si>
  <si>
    <t>N=70,451</t>
  </si>
  <si>
    <t>N=71,285</t>
  </si>
  <si>
    <t>63.0(12.44)</t>
  </si>
  <si>
    <t>62.7(12.46)</t>
  </si>
  <si>
    <t>29,302 (41.6%)</t>
  </si>
  <si>
    <t>30,128 (42.3%)</t>
  </si>
  <si>
    <t>230 (0.3%)</t>
  </si>
  <si>
    <t>1,103 (1.6%)</t>
  </si>
  <si>
    <t>1,104 (1.5%)</t>
  </si>
  <si>
    <t>3,102 (4.4%)</t>
  </si>
  <si>
    <t>3,119 (4.4%)</t>
  </si>
  <si>
    <t>6,190 (8.8%)</t>
  </si>
  <si>
    <t>6,209 (8.7%)</t>
  </si>
  <si>
    <t>5,925 (8.4%)</t>
  </si>
  <si>
    <t>5,989 (8.4%)</t>
  </si>
  <si>
    <t>6,887 (9.8%)</t>
  </si>
  <si>
    <t>6,942 (9.7%)</t>
  </si>
  <si>
    <t>6,394 (9.1%)</t>
  </si>
  <si>
    <t>6,489 (9.1%)</t>
  </si>
  <si>
    <t>6,238 (8.9%)</t>
  </si>
  <si>
    <t>6,282 (8.8%)</t>
  </si>
  <si>
    <t>6,497 (9.2%)</t>
  </si>
  <si>
    <t>6,540 (9.2%)</t>
  </si>
  <si>
    <t>5,611 (8.0%)</t>
  </si>
  <si>
    <t>5,714 (8.0%)</t>
  </si>
  <si>
    <t>4,983 (7.1%)</t>
  </si>
  <si>
    <t>5,030 (7.1%)</t>
  </si>
  <si>
    <t>4,806 (6.8%)</t>
  </si>
  <si>
    <t>4,987 (7.0%)</t>
  </si>
  <si>
    <t>4,458 (6.3%)</t>
  </si>
  <si>
    <t>4,506 (6.3%)</t>
  </si>
  <si>
    <t>2,971 (4.2%)</t>
  </si>
  <si>
    <t>3,033 (4.3%)</t>
  </si>
  <si>
    <t>2,946 (4.2%)</t>
  </si>
  <si>
    <t>2,970 (4.2%)</t>
  </si>
  <si>
    <t>2,110 (3.0%)</t>
  </si>
  <si>
    <t>2,141 (3.0%)</t>
  </si>
  <si>
    <t>33.0(20.43)</t>
  </si>
  <si>
    <t>34.5(22.96)</t>
  </si>
  <si>
    <t>5,562 (7.9%)</t>
  </si>
  <si>
    <t>5,364 (7.5%)</t>
  </si>
  <si>
    <t>16,927 (24.0%)</t>
  </si>
  <si>
    <t>16,520 (23.2%)</t>
  </si>
  <si>
    <t>40,780 (57.9%)</t>
  </si>
  <si>
    <t>42,418 (59.5%)</t>
  </si>
  <si>
    <t>7,182 (10.2%)</t>
  </si>
  <si>
    <t>6,984 (9.8%)</t>
  </si>
  <si>
    <t>28,692 (40.7%)</t>
  </si>
  <si>
    <t>29,209 (41.0%)</t>
  </si>
  <si>
    <t>10,398 (14.8%)</t>
  </si>
  <si>
    <t>10,636 (14.9%)</t>
  </si>
  <si>
    <t>28,796 (40.9%)</t>
  </si>
  <si>
    <t>28,908 (40.6%)</t>
  </si>
  <si>
    <t>2,565 (3.6%)</t>
  </si>
  <si>
    <t>2,532 (3.6%)</t>
  </si>
  <si>
    <t>19,131 (27.2%)</t>
  </si>
  <si>
    <t>19,557 (27.4%)</t>
  </si>
  <si>
    <t>8,984 (12.8%)</t>
  </si>
  <si>
    <t>9,202 (12.9%)</t>
  </si>
  <si>
    <t>15,516 (22.0%)</t>
  </si>
  <si>
    <t>15,506 (21.8%)</t>
  </si>
  <si>
    <t>26,820 (38.1%)</t>
  </si>
  <si>
    <t>27,020 (37.9%)</t>
  </si>
  <si>
    <t>5,807 (8.2%)</t>
  </si>
  <si>
    <t>5,549 (7.8%)</t>
  </si>
  <si>
    <t>19,437 (27.6%)</t>
  </si>
  <si>
    <t>19,015 (26.7%)</t>
  </si>
  <si>
    <t>44,282 (62.9%)</t>
  </si>
  <si>
    <t>45,793 (64.2%)</t>
  </si>
  <si>
    <t>925 (1.3%)</t>
  </si>
  <si>
    <t>928 (1.3%)</t>
  </si>
  <si>
    <t>339 (0.5%)</t>
  </si>
  <si>
    <t>342 (0.5%)</t>
  </si>
  <si>
    <t>1,304 (1.9%)</t>
  </si>
  <si>
    <t>1,321 (1.9%)</t>
  </si>
  <si>
    <t>30,561 (43.4%)</t>
  </si>
  <si>
    <t>31,884 (44.7%)</t>
  </si>
  <si>
    <t>5,385 (7.6%)</t>
  </si>
  <si>
    <t>5,552 (7.8%)</t>
  </si>
  <si>
    <t>5,569 (7.9%)</t>
  </si>
  <si>
    <t>5,660 (7.9%)</t>
  </si>
  <si>
    <t>1,858 (2.6%)</t>
  </si>
  <si>
    <t>1,837 (2.6%)</t>
  </si>
  <si>
    <t>1,855 (2.6%)</t>
  </si>
  <si>
    <t>1,812 (2.5%)</t>
  </si>
  <si>
    <t>2,636 (3.7%)</t>
  </si>
  <si>
    <t>4,720 (6.7%)</t>
  </si>
  <si>
    <t>4,952 (6.9%)</t>
  </si>
  <si>
    <t>12,625 (17.9%)</t>
  </si>
  <si>
    <t>10,901 (15.3%)</t>
  </si>
  <si>
    <t>31,518 (44.7%)</t>
  </si>
  <si>
    <t>4,039 (5.7%)</t>
  </si>
  <si>
    <t>67,578 (95.9%)</t>
  </si>
  <si>
    <t>68,529 (96.1%)</t>
  </si>
  <si>
    <t>5,198 (7.4%)</t>
  </si>
  <si>
    <t>5,671 (8.0%)</t>
  </si>
  <si>
    <t>1,105 (1.6%)</t>
  </si>
  <si>
    <t>1,387 (1.9%)</t>
  </si>
  <si>
    <t>666 (0.9%)</t>
  </si>
  <si>
    <t>785 (1.1%)</t>
  </si>
  <si>
    <t>7.2(4.44)</t>
  </si>
  <si>
    <t>2,646 (3.8%)</t>
  </si>
  <si>
    <t>2,778 (3.9%)</t>
  </si>
  <si>
    <t>52,764 (74.9%)</t>
  </si>
  <si>
    <t>53,301 (74.8%)</t>
  </si>
  <si>
    <t>4,108 (5.8%)</t>
  </si>
  <si>
    <t>4,159 (5.8%)</t>
  </si>
  <si>
    <t>7,139 (10.1%)</t>
  </si>
  <si>
    <t>7,250 (10.2%)</t>
  </si>
  <si>
    <t>5,046 (7.2%)</t>
  </si>
  <si>
    <t>5,313 (7.5%)</t>
  </si>
  <si>
    <t>4,887 (6.9%)</t>
  </si>
  <si>
    <t>5,149 (7.2%)</t>
  </si>
  <si>
    <t>3,677 (5.2%)</t>
  </si>
  <si>
    <t>3,753 (5.3%)</t>
  </si>
  <si>
    <t>2,623 (3.7%)</t>
  </si>
  <si>
    <t>2,603 (3.7%)</t>
  </si>
  <si>
    <t>474 (0.7%)</t>
  </si>
  <si>
    <t>497 (0.7%)</t>
  </si>
  <si>
    <t>93 (0.1%)</t>
  </si>
  <si>
    <t>102 (0.1%)</t>
  </si>
  <si>
    <t>17_RnR_TVEPSweighting</t>
  </si>
  <si>
    <t>Abrahami_Table1notrim_dpp4i_SU_21DEC2024</t>
  </si>
  <si>
    <t>ACNU_Table1notrim_dpp4i_SGLT2i_20DEC2024</t>
  </si>
  <si>
    <t>Heart Failures 0</t>
  </si>
  <si>
    <t>N=82,607</t>
  </si>
  <si>
    <t>N=23,738</t>
  </si>
  <si>
    <t>N=80,784</t>
  </si>
  <si>
    <t>63.8(12.57)</t>
  </si>
  <si>
    <t>61.3(12.03)</t>
  </si>
  <si>
    <t>62.6(12.20)</t>
  </si>
  <si>
    <t>34,023 (41.2%)</t>
  </si>
  <si>
    <t>9,347 (39.4%)</t>
  </si>
  <si>
    <t>33,052 (40.9%)</t>
  </si>
  <si>
    <t>228 (0.3%)</t>
  </si>
  <si>
    <t>6,790 (28.6%)</t>
  </si>
  <si>
    <t>1,446 (1.8%)</t>
  </si>
  <si>
    <t>3,975 (16.7%)</t>
  </si>
  <si>
    <t>1,453 (1.8%)</t>
  </si>
  <si>
    <t>4,266 (5.2%)</t>
  </si>
  <si>
    <t>3,844 (16.2%)</t>
  </si>
  <si>
    <t>4,329 (5.4%)</t>
  </si>
  <si>
    <t>7,464 (9.0%)</t>
  </si>
  <si>
    <t>3,090 (13.0%)</t>
  </si>
  <si>
    <t>7,626 (9.4%)</t>
  </si>
  <si>
    <t>7,326 (8.9%)</t>
  </si>
  <si>
    <t>1,826 (7.7%)</t>
  </si>
  <si>
    <t>7,410 (9.2%)</t>
  </si>
  <si>
    <t>8,498 (10.3%)</t>
  </si>
  <si>
    <t>849 (3.6%)</t>
  </si>
  <si>
    <t>8,266 (10.2%)</t>
  </si>
  <si>
    <t>7,798 (9.4%)</t>
  </si>
  <si>
    <t>657 (2.8%)</t>
  </si>
  <si>
    <t>7,723 (9.6%)</t>
  </si>
  <si>
    <t>7,454 (9.0%)</t>
  </si>
  <si>
    <t>485 (2.0%)</t>
  </si>
  <si>
    <t>7,563 (9.4%)</t>
  </si>
  <si>
    <t>7,412 (9.0%)</t>
  </si>
  <si>
    <t>508 (2.1%)</t>
  </si>
  <si>
    <t>7,019 (8.7%)</t>
  </si>
  <si>
    <t>6,323 (7.7%)</t>
  </si>
  <si>
    <t>392 (1.7%)</t>
  </si>
  <si>
    <t>6,247 (7.7%)</t>
  </si>
  <si>
    <t>5,574 (6.7%)</t>
  </si>
  <si>
    <t>365 (1.5%)</t>
  </si>
  <si>
    <t>5,312 (6.6%)</t>
  </si>
  <si>
    <t>5,317 (6.4%)</t>
  </si>
  <si>
    <t>314 (1.3%)</t>
  </si>
  <si>
    <t>5,143 (6.4%)</t>
  </si>
  <si>
    <t>4,889 (5.9%)</t>
  </si>
  <si>
    <t>278 (1.2%)</t>
  </si>
  <si>
    <t>4,479 (5.5%)</t>
  </si>
  <si>
    <t>3,222 (3.9%)</t>
  </si>
  <si>
    <t>148 (0.6%)</t>
  </si>
  <si>
    <t>2,952 (3.7%)</t>
  </si>
  <si>
    <t>3,154 (3.8%)</t>
  </si>
  <si>
    <t>2,935 (3.6%)</t>
  </si>
  <si>
    <t>2,236 (2.7%)</t>
  </si>
  <si>
    <t>101 (0.4%)</t>
  </si>
  <si>
    <t>2,099 (2.6%)</t>
  </si>
  <si>
    <t>32.9(20.53)</t>
  </si>
  <si>
    <t>34.1(21.14)</t>
  </si>
  <si>
    <t>34.0(21.40)</t>
  </si>
  <si>
    <t>7,826 (9.5%)</t>
  </si>
  <si>
    <t>2,487 (10.5%)</t>
  </si>
  <si>
    <t>7,112 (8.8%)</t>
  </si>
  <si>
    <t>21,328 (25.8%)</t>
  </si>
  <si>
    <t>7,027 (29.6%)</t>
  </si>
  <si>
    <t>19,846 (24.6%)</t>
  </si>
  <si>
    <t>44,959 (54.4%)</t>
  </si>
  <si>
    <t>12,792 (53.9%)</t>
  </si>
  <si>
    <t>45,956 (56.9%)</t>
  </si>
  <si>
    <t>8,494 (10.3%)</t>
  </si>
  <si>
    <t>1,432 (6.0%)</t>
  </si>
  <si>
    <t>7,869 (9.7%)</t>
  </si>
  <si>
    <t>32,999 (39.9%)</t>
  </si>
  <si>
    <t>9,489 (40.0%)</t>
  </si>
  <si>
    <t>33,049 (40.9%)</t>
  </si>
  <si>
    <t>12,471 (15.1%)</t>
  </si>
  <si>
    <t>3,407 (14.4%)</t>
  </si>
  <si>
    <t>11,629 (14.4%)</t>
  </si>
  <si>
    <t>34,098 (41.3%)</t>
  </si>
  <si>
    <t>10,197 (43.0%)</t>
  </si>
  <si>
    <t>32,985 (40.8%)</t>
  </si>
  <si>
    <t>3,039 (3.7%)</t>
  </si>
  <si>
    <t>645 (2.7%)</t>
  </si>
  <si>
    <t>3,121 (3.9%)</t>
  </si>
  <si>
    <t>22,467 (27.2%)</t>
  </si>
  <si>
    <t>6,946 (29.3%)</t>
  </si>
  <si>
    <t>21,960 (27.2%)</t>
  </si>
  <si>
    <t>10,325 (12.5%)</t>
  </si>
  <si>
    <t>3,501 (14.7%)</t>
  </si>
  <si>
    <t>10,362 (12.8%)</t>
  </si>
  <si>
    <t>18,172 (22.0%)</t>
  </si>
  <si>
    <t>3,860 (16.3%)</t>
  </si>
  <si>
    <t>17,726 (21.9%)</t>
  </si>
  <si>
    <t>31,643 (38.3%)</t>
  </si>
  <si>
    <t>9,431 (39.7%)</t>
  </si>
  <si>
    <t>30,735 (38.0%)</t>
  </si>
  <si>
    <t>6,041 (7.3%)</t>
  </si>
  <si>
    <t>1,465 (6.2%)</t>
  </si>
  <si>
    <t>5,111 (6.3%)</t>
  </si>
  <si>
    <t>21,803 (26.4%)</t>
  </si>
  <si>
    <t>5,858 (24.7%)</t>
  </si>
  <si>
    <t>20,247 (25.1%)</t>
  </si>
  <si>
    <t>53,605 (64.9%)</t>
  </si>
  <si>
    <t>16,169 (68.1%)</t>
  </si>
  <si>
    <t>54,537 (67.5%)</t>
  </si>
  <si>
    <t>1,158 (1.4%)</t>
  </si>
  <si>
    <t>246 (1.0%)</t>
  </si>
  <si>
    <t>888 (1.1%)</t>
  </si>
  <si>
    <t>453 (0.5%)</t>
  </si>
  <si>
    <t>414 (0.5%)</t>
  </si>
  <si>
    <t>1,788 (2.2%)</t>
  </si>
  <si>
    <t>517 (2.2%)</t>
  </si>
  <si>
    <t>1,976 (2.4%)</t>
  </si>
  <si>
    <t>36,917 (44.7%)</t>
  </si>
  <si>
    <t>7,097 (29.9%)</t>
  </si>
  <si>
    <t>37,053 (45.9%)</t>
  </si>
  <si>
    <t>6,717 (8.1%)</t>
  </si>
  <si>
    <t>1,224 (5.2%)</t>
  </si>
  <si>
    <t>7,092 (8.8%)</t>
  </si>
  <si>
    <t>7,029 (8.5%)</t>
  </si>
  <si>
    <t>1,440 (6.1%)</t>
  </si>
  <si>
    <t>6,530 (8.1%)</t>
  </si>
  <si>
    <t>2,435 (2.9%)</t>
  </si>
  <si>
    <t>569 (2.4%)</t>
  </si>
  <si>
    <t>2,307 (2.9%)</t>
  </si>
  <si>
    <t>2,322 (2.8%)</t>
  </si>
  <si>
    <t>504 (2.1%)</t>
  </si>
  <si>
    <t>3,553 (4.4%)</t>
  </si>
  <si>
    <t>464 (2.0%)</t>
  </si>
  <si>
    <t>5,032 (6.2%)</t>
  </si>
  <si>
    <t>5,141 (6.2%)</t>
  </si>
  <si>
    <t>568 (2.4%)</t>
  </si>
  <si>
    <t>6,253 (7.7%)</t>
  </si>
  <si>
    <t>14,042 (17.0%)</t>
  </si>
  <si>
    <t>1,209 (5.1%)</t>
  </si>
  <si>
    <t>1,743 (2.2%)</t>
  </si>
  <si>
    <t>44,779 (54.2%)</t>
  </si>
  <si>
    <t>14,682 (61.9%)</t>
  </si>
  <si>
    <t>47,084 (58.3%)</t>
  </si>
  <si>
    <t>79,101 (95.8%)</t>
  </si>
  <si>
    <t>22,853 (96.3%)</t>
  </si>
  <si>
    <t>78,128 (96.7%)</t>
  </si>
  <si>
    <t>6,261 (7.6%)</t>
  </si>
  <si>
    <t>1,688 (7.1%)</t>
  </si>
  <si>
    <t>6,669 (8.3%)</t>
  </si>
  <si>
    <t>1,206 (1.5%)</t>
  </si>
  <si>
    <t>429 (1.8%)</t>
  </si>
  <si>
    <t>1,635 (2.0%)</t>
  </si>
  <si>
    <t>1,050 (1.3%)</t>
  </si>
  <si>
    <t>512 (2.2%)</t>
  </si>
  <si>
    <t>1,128 (1.4%)</t>
  </si>
  <si>
    <t>7.2(4.26)</t>
  </si>
  <si>
    <t>6.8(3.95)</t>
  </si>
  <si>
    <t>3,161 (3.8%)</t>
  </si>
  <si>
    <t>764 (3.2%)</t>
  </si>
  <si>
    <t>3,223 (4.0%)</t>
  </si>
  <si>
    <t>60,364 (73.1%)</t>
  </si>
  <si>
    <t>16,413 (69.1%)</t>
  </si>
  <si>
    <t>59,661 (73.9%)</t>
  </si>
  <si>
    <t>4,516 (5.5%)</t>
  </si>
  <si>
    <t>1,215 (5.1%)</t>
  </si>
  <si>
    <t>4,303 (5.3%)</t>
  </si>
  <si>
    <t>8,051 (9.7%)</t>
  </si>
  <si>
    <t>2,059 (8.7%)</t>
  </si>
  <si>
    <t>7,802 (9.7%)</t>
  </si>
  <si>
    <t>5,351 (6.5%)</t>
  </si>
  <si>
    <t>1,323 (5.6%)</t>
  </si>
  <si>
    <t>5,742 (7.1%)</t>
  </si>
  <si>
    <t>5,111 (6.2%)</t>
  </si>
  <si>
    <t>1,155 (4.9%)</t>
  </si>
  <si>
    <t>4,990 (6.2%)</t>
  </si>
  <si>
    <t>4,188 (5.1%)</t>
  </si>
  <si>
    <t>1,015 (4.3%)</t>
  </si>
  <si>
    <t>4,190 (5.2%)</t>
  </si>
  <si>
    <t>3,057 (3.7%)</t>
  </si>
  <si>
    <t>716 (3.0%)</t>
  </si>
  <si>
    <t>2,849 (3.5%)</t>
  </si>
  <si>
    <t>535 (0.6%)</t>
  </si>
  <si>
    <t>125 (0.5%)</t>
  </si>
  <si>
    <t>419 (0.5%)</t>
  </si>
  <si>
    <t>98 (0.1%)</t>
  </si>
  <si>
    <t>16 (0.1%)</t>
  </si>
  <si>
    <t>114 (0.1%)</t>
  </si>
  <si>
    <t>40 (0.0%)</t>
  </si>
  <si>
    <t>12 (0.1%)</t>
  </si>
  <si>
    <t>50 (0.1%)</t>
  </si>
  <si>
    <t xml:space="preserve">Heart Failure (none) </t>
  </si>
  <si>
    <t>Abrahami_Table1notrim_dpp4i_SGLT2i_21DEC2024.rtf</t>
  </si>
  <si>
    <t>N=88,511</t>
  </si>
  <si>
    <t>N=50,048</t>
  </si>
  <si>
    <t>63.9(12.47)</t>
  </si>
  <si>
    <t>63.7(12.27)</t>
  </si>
  <si>
    <t>36,286 (41.0%)</t>
  </si>
  <si>
    <t>20,965 (41.9%)</t>
  </si>
  <si>
    <t>395 (0.4%)</t>
  </si>
  <si>
    <t>2,011 (2.3%)</t>
  </si>
  <si>
    <t>5,209 (5.9%)</t>
  </si>
  <si>
    <t>9,045 (10.2%)</t>
  </si>
  <si>
    <t>8,303 (9.4%)</t>
  </si>
  <si>
    <t>9,268 (10.5%)</t>
  </si>
  <si>
    <t>8,256 (9.3%)</t>
  </si>
  <si>
    <t>6,777 (13.5%)</t>
  </si>
  <si>
    <t>7,728 (8.7%)</t>
  </si>
  <si>
    <t>6,499 (13.0%)</t>
  </si>
  <si>
    <t>7,634 (8.6%)</t>
  </si>
  <si>
    <t>6,705 (13.4%)</t>
  </si>
  <si>
    <t>6,456 (7.3%)</t>
  </si>
  <si>
    <t>6,296 (12.6%)</t>
  </si>
  <si>
    <t>5,616 (6.3%)</t>
  </si>
  <si>
    <t>5,222 (10.4%)</t>
  </si>
  <si>
    <t>5,314 (6.0%)</t>
  </si>
  <si>
    <t>5,183 (10.4%)</t>
  </si>
  <si>
    <t>4,867 (5.5%)</t>
  </si>
  <si>
    <t>4,698 (9.4%)</t>
  </si>
  <si>
    <t>3,166 (3.6%)</t>
  </si>
  <si>
    <t>3,165 (6.3%)</t>
  </si>
  <si>
    <t>3,083 (3.5%)</t>
  </si>
  <si>
    <t>3,228 (6.5%)</t>
  </si>
  <si>
    <t>2,160 (2.4%)</t>
  </si>
  <si>
    <t>2,275 (4.5%)</t>
  </si>
  <si>
    <t>32.8(20.45)</t>
  </si>
  <si>
    <t>32.9(19.58)</t>
  </si>
  <si>
    <t>8,173 (9.2%)</t>
  </si>
  <si>
    <t>4,493 (9.0%)</t>
  </si>
  <si>
    <t>22,601 (25.5%)</t>
  </si>
  <si>
    <t>12,760 (25.5%)</t>
  </si>
  <si>
    <t>48,866 (55.2%)</t>
  </si>
  <si>
    <t>26,734 (53.4%)</t>
  </si>
  <si>
    <t>8,871 (10.0%)</t>
  </si>
  <si>
    <t>6,061 (12.1%)</t>
  </si>
  <si>
    <t>35,030 (39.6%)</t>
  </si>
  <si>
    <t>20,768 (41.5%)</t>
  </si>
  <si>
    <t>13,385 (15.1%)</t>
  </si>
  <si>
    <t>7,772 (15.5%)</t>
  </si>
  <si>
    <t>36,892 (41.7%)</t>
  </si>
  <si>
    <t>19,503 (39.0%)</t>
  </si>
  <si>
    <t>3,204 (3.6%)</t>
  </si>
  <si>
    <t>2,005 (4.0%)</t>
  </si>
  <si>
    <t>24,182 (27.3%)</t>
  </si>
  <si>
    <t>13,468 (26.9%)</t>
  </si>
  <si>
    <t>11,039 (12.5%)</t>
  </si>
  <si>
    <t>6,222 (12.4%)</t>
  </si>
  <si>
    <t>19,265 (21.8%)</t>
  </si>
  <si>
    <t>11,873 (23.7%)</t>
  </si>
  <si>
    <t>34,025 (38.4%)</t>
  </si>
  <si>
    <t>18,485 (36.9%)</t>
  </si>
  <si>
    <t>7,110 (8.0%)</t>
  </si>
  <si>
    <t>2,830 (5.7%)</t>
  </si>
  <si>
    <t>23,502 (26.6%)</t>
  </si>
  <si>
    <t>12,689 (25.4%)</t>
  </si>
  <si>
    <t>56,640 (64.0%)</t>
  </si>
  <si>
    <t>33,910 (67.8%)</t>
  </si>
  <si>
    <t>1,259 (1.4%)</t>
  </si>
  <si>
    <t>619 (1.2%)</t>
  </si>
  <si>
    <t>517 (0.6%)</t>
  </si>
  <si>
    <t>276 (0.6%)</t>
  </si>
  <si>
    <t>2,005 (2.3%)</t>
  </si>
  <si>
    <t>1,059 (2.1%)</t>
  </si>
  <si>
    <t>39,718 (44.9%)</t>
  </si>
  <si>
    <t>25,046 (50.0%)</t>
  </si>
  <si>
    <t>7,052 (8.0%)</t>
  </si>
  <si>
    <t>3,287 (6.6%)</t>
  </si>
  <si>
    <t>7,408 (8.4%)</t>
  </si>
  <si>
    <t>4,959 (9.9%)</t>
  </si>
  <si>
    <t>2,625 (3.0%)</t>
  </si>
  <si>
    <t>1,480 (3.0%)</t>
  </si>
  <si>
    <t>2,456 (2.8%)</t>
  </si>
  <si>
    <t>2,953 (5.9%)</t>
  </si>
  <si>
    <t>5,648 (11.3%)</t>
  </si>
  <si>
    <t>4,881 (5.5%)</t>
  </si>
  <si>
    <t>20,398 (23.0%)</t>
  </si>
  <si>
    <t>8,190 (16.4%)</t>
  </si>
  <si>
    <t>49,224 (55.6%)</t>
  </si>
  <si>
    <t>24,281 (48.5%)</t>
  </si>
  <si>
    <t>84,894 (95.9%)</t>
  </si>
  <si>
    <t>48,342 (96.6%)</t>
  </si>
  <si>
    <t>6,545 (7.4%)</t>
  </si>
  <si>
    <t>4,359 (8.7%)</t>
  </si>
  <si>
    <t>1,516 (1.7%)</t>
  </si>
  <si>
    <t>439 (0.9%)</t>
  </si>
  <si>
    <t>1,362 (1.5%)</t>
  </si>
  <si>
    <t>497 (1.0%)</t>
  </si>
  <si>
    <t>7.2(4.25)</t>
  </si>
  <si>
    <t>3,392 (3.8%)</t>
  </si>
  <si>
    <t>1,746 (3.5%)</t>
  </si>
  <si>
    <t>64,812 (73.2%)</t>
  </si>
  <si>
    <t>37,577 (75.1%)</t>
  </si>
  <si>
    <t>4,843 (5.5%)</t>
  </si>
  <si>
    <t>3,004 (6.0%)</t>
  </si>
  <si>
    <t>8,601 (9.7%)</t>
  </si>
  <si>
    <t>5,175 (10.3%)</t>
  </si>
  <si>
    <t>5,643 (6.4%)</t>
  </si>
  <si>
    <t>3,555 (7.1%)</t>
  </si>
  <si>
    <t>5,348 (6.0%)</t>
  </si>
  <si>
    <t>3,666 (7.3%)</t>
  </si>
  <si>
    <t>4,444 (5.0%)</t>
  </si>
  <si>
    <t>2,545 (5.1%)</t>
  </si>
  <si>
    <t>3,280 (3.7%)</t>
  </si>
  <si>
    <t>1,721 (3.4%)</t>
  </si>
  <si>
    <t>564 (0.6%)</t>
  </si>
  <si>
    <t>352 (0.7%)</t>
  </si>
  <si>
    <t>107 (0.1%)</t>
  </si>
  <si>
    <t>93 (0.2%)</t>
  </si>
  <si>
    <t>42 (0.0%)</t>
  </si>
  <si>
    <t xml:space="preserve">Abrahami </t>
  </si>
  <si>
    <t xml:space="preserve">ACNU (correct) </t>
  </si>
  <si>
    <t xml:space="preserve">(should be 63548) </t>
  </si>
  <si>
    <t>&lt;- need to exclude history of CHF (n=-421)</t>
  </si>
  <si>
    <t>need to exclude before 2012 (n=24963)</t>
  </si>
  <si>
    <t>*update this list</t>
  </si>
  <si>
    <t>DPP4i users</t>
  </si>
  <si>
    <t>TZD users</t>
  </si>
  <si>
    <t>ACNU design (IT)</t>
  </si>
  <si>
    <t>IBD cases</t>
  </si>
  <si>
    <t>Person-years</t>
  </si>
  <si>
    <t>Crude HR</t>
  </si>
  <si>
    <t>45.5 (38.3-54.0)</t>
  </si>
  <si>
    <t>37.2 (26.6-52.1)</t>
  </si>
  <si>
    <t>1.1 (0.8-1.3)</t>
  </si>
  <si>
    <t>TVE design (biased asymmetrical)</t>
  </si>
  <si>
    <t>Y=18</t>
  </si>
  <si>
    <t xml:space="preserve">YY=71,354 </t>
  </si>
  <si>
    <t>ZZ persontime</t>
  </si>
  <si>
    <t>160 = 131+X cases</t>
  </si>
  <si>
    <t>326,417=287,967+XX persontime</t>
  </si>
  <si>
    <t>49.0 (42.0-57.2)</t>
  </si>
  <si>
    <t>25.2 (15.9-40.0)</t>
  </si>
  <si>
    <t>1.1 (0.9-1.4)</t>
  </si>
  <si>
    <r>
      <t xml:space="preserve">Table 4. </t>
    </r>
    <r>
      <rPr>
        <sz val="8"/>
        <color theme="1"/>
        <rFont val="Times New Roman"/>
        <family val="1"/>
      </rPr>
      <t> </t>
    </r>
    <r>
      <rPr>
        <sz val="12"/>
        <color rgb="FF201F1E"/>
        <rFont val="Times New Roman"/>
        <family val="1"/>
      </rPr>
      <t>Comparison between ACNU and asymmetric TVE for cohort study of DPP4i and IBD incidence.</t>
    </r>
  </si>
  <si>
    <t>18+Z = 34-X cases</t>
  </si>
  <si>
    <t>Z+Y</t>
  </si>
  <si>
    <t>Z+Y+X=34</t>
  </si>
  <si>
    <t>71,354+ZZ = 91,389 - XX persontime</t>
  </si>
  <si>
    <t>YY+ZZ+XX=91389</t>
  </si>
  <si>
    <t>YY=0</t>
  </si>
  <si>
    <t>XX=0</t>
  </si>
  <si>
    <t>ZZ=91389</t>
  </si>
  <si>
    <t>18_RnR_MainSe1analysis1</t>
  </si>
  <si>
    <t>WEBTABLE4:Key patient characteristics between switchers and non-switchers in Dipeptidyl Peptidase-4 inhibitors (DPP4i) group in each comparison.</t>
  </si>
  <si>
    <r>
      <t>Web Table 4</t>
    </r>
    <r>
      <rPr>
        <sz val="11"/>
        <color rgb="FF000000"/>
        <rFont val="Calibri"/>
        <family val="2"/>
      </rPr>
      <t>: Key patient characteristics between switchers and non-switchers in Dipeptidyl Peptidase-4 inhibitors (DPP4i) group in each comparison.</t>
    </r>
  </si>
  <si>
    <t>DPP4i users in the DPP4i vs SU comparison</t>
  </si>
  <si>
    <t>DPP4i users in the DPP4i vs TZD comparison</t>
  </si>
  <si>
    <t>DPP4i users in the DPP4i vs SGLT2i comparison</t>
  </si>
  <si>
    <t>switchers</t>
  </si>
  <si>
    <t>N=</t>
  </si>
  <si>
    <t>Non-switchers</t>
  </si>
  <si>
    <t>Standardized 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</si>
</sst>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3" x14ac:knownFonts="1">
    <font>
      <sz val="11"/>
      <color theme="1"/>
      <name val="Aptos Narrow"/>
      <family val="2"/>
      <scheme val="minor"/>
    </font>
    <font>
      <b/>
      <sz val="11"/>
      <color theme="1"/>
      <name val="Aptos Narrow"/>
      <family val="2"/>
      <scheme val="minor"/>
    </font>
    <font>
      <b/>
      <sz val="12"/>
      <color theme="1"/>
      <name val="Calibri"/>
      <family val="2"/>
    </font>
    <font>
      <b/>
      <sz val="12"/>
      <color rgb="FF000000"/>
      <name val="Calibri"/>
      <family val="2"/>
    </font>
    <font>
      <sz val="11"/>
      <color rgb="FF000000"/>
      <name val="Calibri"/>
      <family val="2"/>
    </font>
    <font>
      <b/>
      <sz val="11"/>
      <color rgb="FF000000"/>
      <name val="Calibri"/>
      <family val="2"/>
    </font>
    <font>
      <sz val="11"/>
      <color theme="1"/>
      <name val="Calibri"/>
      <family val="2"/>
    </font>
    <font>
      <b/>
      <sz val="11"/>
      <color rgb="FF201F1E"/>
      <name val="Calibri"/>
      <family val="2"/>
    </font>
    <font>
      <sz val="12"/>
      <color theme="1"/>
      <name val="Calibri"/>
      <family val="2"/>
    </font>
    <font>
      <b/>
      <sz val="11"/>
      <color theme="1"/>
      <name val="Calibri"/>
      <family val="2"/>
    </font>
    <font>
      <sz val="8"/>
      <color theme="1"/>
      <name val="Times New Roman"/>
      <family val="1"/>
    </font>
    <font>
      <b/>
      <vertAlign val="superscript"/>
      <sz val="11"/>
      <color rgb="FF201F1E"/>
      <name val="Calibri"/>
      <family val="2"/>
    </font>
    <font>
      <i/>
      <sz val="11"/>
      <color rgb="FF000000"/>
      <name val="Calibri"/>
      <family val="2"/>
    </font>
    <font>
      <sz val="11"/>
      <color theme="1"/>
      <name val="Aptos Narrow"/>
      <family val="2"/>
      <scheme val="minor"/>
    </font>
    <font>
      <b/>
      <sz val="11"/>
      <name val="Aptos Narrow"/>
      <family val="2"/>
      <scheme val="minor"/>
    </font>
    <font>
      <b/>
      <i/>
      <sz val="11"/>
      <color rgb="FF000000"/>
      <name val="Calibri"/>
      <family val="2"/>
    </font>
    <font>
      <sz val="16"/>
      <color theme="1"/>
      <name val="Aptos Narrow"/>
      <family val="2"/>
      <scheme val="minor"/>
    </font>
    <font>
      <sz val="11"/>
      <color theme="1" tint="0.499984740745262"/>
      <name val="Aptos Narrow"/>
      <family val="2"/>
      <scheme val="minor"/>
    </font>
    <font>
      <sz val="12"/>
      <color theme="1"/>
      <name val="Times New Roman"/>
      <family val="1"/>
    </font>
    <font>
      <b/>
      <sz val="9"/>
      <color rgb="FF000000"/>
      <name val="Times New Roman"/>
      <family val="1"/>
    </font>
    <font>
      <sz val="9"/>
      <color rgb="FF000000"/>
      <name val="Times New Roman"/>
      <family val="1"/>
    </font>
    <font>
      <b/>
      <sz val="10"/>
      <color theme="1"/>
      <name val="Times New Roman"/>
      <family val="1"/>
    </font>
    <font>
      <sz val="10"/>
      <color theme="1"/>
      <name val="Times New Roman"/>
      <family val="1"/>
    </font>
    <font>
      <b/>
      <sz val="10"/>
      <color rgb="FF000000"/>
      <name val="Times New Roman"/>
      <family val="1"/>
    </font>
    <font>
      <sz val="10"/>
      <color rgb="FF000000"/>
      <name val="Times New Roman"/>
      <family val="1"/>
    </font>
    <font>
      <sz val="9"/>
      <color theme="1"/>
      <name val="Times New Roman"/>
      <family val="1"/>
    </font>
    <font>
      <b/>
      <sz val="11"/>
      <color rgb="FF000000"/>
      <name val="Times New Roman"/>
      <family val="1"/>
    </font>
    <font>
      <sz val="11"/>
      <color rgb="FFFF0000"/>
      <name val="Aptos Narrow"/>
      <family val="2"/>
      <scheme val="minor"/>
    </font>
    <font>
      <b/>
      <i/>
      <sz val="9"/>
      <color rgb="FF000000"/>
      <name val="Times New Roman"/>
      <family val="1"/>
    </font>
    <font>
      <i/>
      <sz val="9"/>
      <color rgb="FF000000"/>
      <name val="Times New Roman"/>
      <family val="1"/>
    </font>
    <font>
      <i/>
      <sz val="10"/>
      <color theme="1"/>
      <name val="Times New Roman"/>
      <family val="1"/>
    </font>
    <font>
      <u val="double"/>
      <sz val="11"/>
      <color theme="1"/>
      <name val="Aptos Narrow"/>
      <family val="2"/>
      <scheme val="minor"/>
    </font>
    <font>
      <b/>
      <u val="double"/>
      <sz val="10"/>
      <color theme="1"/>
      <name val="Times New Roman"/>
      <family val="1"/>
    </font>
    <font>
      <b/>
      <u val="double"/>
      <sz val="9"/>
      <color rgb="FF000000"/>
      <name val="Times New Roman"/>
      <family val="1"/>
    </font>
    <font>
      <b/>
      <i/>
      <u val="double"/>
      <sz val="9"/>
      <color rgb="FF000000"/>
      <name val="Times New Roman"/>
      <family val="1"/>
    </font>
    <font>
      <i/>
      <u val="double"/>
      <sz val="9"/>
      <color rgb="FF000000"/>
      <name val="Times New Roman"/>
      <family val="1"/>
    </font>
    <font>
      <i/>
      <u val="double"/>
      <sz val="10"/>
      <color theme="1"/>
      <name val="Times New Roman"/>
      <family val="1"/>
    </font>
    <font>
      <i/>
      <u val="double"/>
      <sz val="9"/>
      <color theme="1"/>
      <name val="Times New Roman"/>
      <family val="1"/>
    </font>
    <font>
      <i/>
      <u val="double"/>
      <sz val="10"/>
      <color rgb="FF000000"/>
      <name val="Times New Roman"/>
      <family val="1"/>
    </font>
    <font>
      <b/>
      <sz val="9"/>
      <color rgb="FFFF0000"/>
      <name val="Times New Roman"/>
      <family val="1"/>
    </font>
    <font>
      <sz val="9"/>
      <color rgb="FFFF0000"/>
      <name val="Times New Roman"/>
      <family val="1"/>
    </font>
    <font>
      <b/>
      <sz val="11"/>
      <color rgb="FFFF0000"/>
      <name val="Times New Roman"/>
      <family val="1"/>
    </font>
    <font>
      <b/>
      <sz val="11"/>
      <color theme="9"/>
      <name val="Times New Roman"/>
      <family val="1"/>
    </font>
    <font>
      <b/>
      <sz val="9"/>
      <color theme="9"/>
      <name val="Times New Roman"/>
      <family val="1"/>
    </font>
    <font>
      <sz val="11"/>
      <color theme="9"/>
      <name val="Aptos Narrow"/>
      <family val="2"/>
      <scheme val="minor"/>
    </font>
    <font>
      <b/>
      <sz val="11"/>
      <color theme="9"/>
      <name val="Aptos Narrow"/>
      <family val="2"/>
      <scheme val="minor"/>
    </font>
    <font>
      <b/>
      <sz val="11"/>
      <color rgb="FFFF0000"/>
      <name val="Aptos Narrow"/>
      <family val="2"/>
      <scheme val="minor"/>
    </font>
    <font>
      <sz val="9"/>
      <color indexed="81"/>
      <name val="Tahoma"/>
      <family val="2"/>
    </font>
    <font>
      <b/>
      <sz val="9"/>
      <color indexed="81"/>
      <name val="Tahoma"/>
      <family val="2"/>
    </font>
    <font>
      <b/>
      <sz val="12"/>
      <color rgb="FF201F1E"/>
      <name val="Times New Roman"/>
      <family val="1"/>
    </font>
    <font>
      <sz val="12"/>
      <color rgb="FF201F1E"/>
      <name val="Times New Roman"/>
      <family val="1"/>
    </font>
    <font>
      <sz val="11"/>
      <color rgb="FF201F1E"/>
      <name val="Calibri"/>
      <family val="2"/>
    </font>
    <font>
      <b/>
      <sz val="9"/>
      <color rgb="FF000000"/>
      <name val="Calibri"/>
      <family val="2"/>
    </font>
  </fonts>
  <fills count="18">
    <fill>
      <patternFill patternType="none"/>
    </fill>
    <fill>
      <patternFill patternType="gray125"/>
    </fill>
    <fill>
      <patternFill patternType="solid">
        <fgColor theme="6" tint="0.79998168889431442"/>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2F2F2"/>
        <bgColor indexed="64"/>
      </patternFill>
    </fill>
    <fill>
      <patternFill patternType="solid">
        <fgColor rgb="FFFF0000"/>
        <bgColor indexed="64"/>
      </patternFill>
    </fill>
    <fill>
      <patternFill patternType="solid">
        <fgColor rgb="FFBBBBBB"/>
        <bgColor indexed="64"/>
      </patternFill>
    </fill>
    <fill>
      <patternFill patternType="solid">
        <fgColor rgb="FFFFFFFF"/>
        <bgColor indexed="64"/>
      </patternFill>
    </fill>
    <fill>
      <patternFill patternType="solid">
        <fgColor rgb="FFFFC000"/>
        <bgColor indexed="64"/>
      </patternFill>
    </fill>
    <fill>
      <patternFill patternType="solid">
        <fgColor theme="8" tint="0.79998168889431442"/>
        <bgColor indexed="64"/>
      </patternFill>
    </fill>
    <fill>
      <patternFill patternType="solid">
        <fgColor theme="9" tint="0.39997558519241921"/>
        <bgColor indexed="64"/>
      </patternFill>
    </fill>
  </fills>
  <borders count="54">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rgb="FF000000"/>
      </right>
      <top/>
      <bottom/>
      <diagonal/>
    </border>
    <border>
      <left style="medium">
        <color rgb="FF000000"/>
      </left>
      <right/>
      <top style="medium">
        <color indexed="64"/>
      </top>
      <bottom style="medium">
        <color indexed="64"/>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s>
  <cellStyleXfs count="2">
    <xf numFmtId="0" fontId="0" fillId="0" borderId="0"/>
    <xf numFmtId="43" fontId="13" fillId="0" borderId="0" applyFont="0" applyFill="0" applyBorder="0" applyAlignment="0" applyProtection="0"/>
  </cellStyleXfs>
  <cellXfs count="304">
    <xf numFmtId="0" fontId="0" fillId="0" borderId="0" xfId="0"/>
    <xf numFmtId="0" fontId="0" fillId="0" borderId="0" xfId="0" quotePrefix="1"/>
    <xf numFmtId="3" fontId="0" fillId="0" borderId="0" xfId="0" applyNumberFormat="1"/>
    <xf numFmtId="0" fontId="0" fillId="0" borderId="0" xfId="0" quotePrefix="1" applyAlignment="1">
      <alignment horizontal="right"/>
    </xf>
    <xf numFmtId="0" fontId="0" fillId="0" borderId="0" xfId="0" applyAlignment="1">
      <alignment horizontal="right"/>
    </xf>
    <xf numFmtId="3" fontId="0" fillId="0" borderId="0" xfId="0" applyNumberFormat="1" applyAlignment="1">
      <alignment horizontal="right"/>
    </xf>
    <xf numFmtId="0" fontId="0" fillId="0" borderId="0" xfId="0" applyAlignment="1">
      <alignment wrapText="1"/>
    </xf>
    <xf numFmtId="0" fontId="0" fillId="0" borderId="0" xfId="0" applyAlignment="1">
      <alignment horizontal="left"/>
    </xf>
    <xf numFmtId="0" fontId="2" fillId="0" borderId="0" xfId="0" applyFont="1"/>
    <xf numFmtId="0" fontId="5" fillId="0" borderId="0" xfId="0" applyFont="1"/>
    <xf numFmtId="0" fontId="1"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applyAlignment="1">
      <alignment vertical="center"/>
    </xf>
    <xf numFmtId="0" fontId="7" fillId="0" borderId="0" xfId="0" applyFont="1" applyAlignment="1">
      <alignment vertical="center"/>
    </xf>
    <xf numFmtId="0" fontId="12" fillId="0" borderId="0" xfId="0" applyFont="1"/>
    <xf numFmtId="164" fontId="1" fillId="0" borderId="0" xfId="1" applyNumberFormat="1" applyFont="1"/>
    <xf numFmtId="0" fontId="0" fillId="0" borderId="1" xfId="0" applyBorder="1"/>
    <xf numFmtId="0" fontId="0" fillId="0" borderId="2" xfId="0" applyBorder="1"/>
    <xf numFmtId="164" fontId="0" fillId="0" borderId="3" xfId="1" applyNumberFormat="1" applyFont="1" applyBorder="1"/>
    <xf numFmtId="164" fontId="0" fillId="0" borderId="0" xfId="1" applyNumberFormat="1" applyFont="1"/>
    <xf numFmtId="0" fontId="0" fillId="0" borderId="4" xfId="0" applyBorder="1"/>
    <xf numFmtId="0" fontId="0" fillId="0" borderId="5" xfId="0" applyBorder="1"/>
    <xf numFmtId="164" fontId="0" fillId="0" borderId="6" xfId="1" applyNumberFormat="1" applyFont="1" applyBorder="1"/>
    <xf numFmtId="0" fontId="0" fillId="0" borderId="7" xfId="0" applyBorder="1"/>
    <xf numFmtId="0" fontId="0" fillId="0" borderId="8" xfId="0" applyBorder="1"/>
    <xf numFmtId="164" fontId="0" fillId="0" borderId="9" xfId="1" applyNumberFormat="1" applyFont="1" applyBorder="1"/>
    <xf numFmtId="0" fontId="0" fillId="0" borderId="10" xfId="0" applyBorder="1"/>
    <xf numFmtId="0" fontId="0" fillId="0" borderId="11" xfId="0" applyBorder="1"/>
    <xf numFmtId="164" fontId="0" fillId="0" borderId="12" xfId="1" applyNumberFormat="1" applyFont="1" applyBorder="1"/>
    <xf numFmtId="0" fontId="0" fillId="0" borderId="13" xfId="0" applyBorder="1"/>
    <xf numFmtId="164" fontId="0" fillId="0" borderId="14" xfId="1" applyNumberFormat="1" applyFont="1" applyBorder="1"/>
    <xf numFmtId="0" fontId="0" fillId="0" borderId="15" xfId="0" applyBorder="1"/>
    <xf numFmtId="164" fontId="0" fillId="0" borderId="16" xfId="1" applyNumberFormat="1" applyFont="1" applyBorder="1"/>
    <xf numFmtId="0" fontId="0" fillId="0" borderId="17" xfId="0" applyBorder="1"/>
    <xf numFmtId="0" fontId="0" fillId="0" borderId="18" xfId="0" applyBorder="1"/>
    <xf numFmtId="0" fontId="0" fillId="0" borderId="19" xfId="0" applyBorder="1"/>
    <xf numFmtId="164" fontId="0" fillId="0" borderId="20" xfId="1" applyNumberFormat="1" applyFont="1" applyBorder="1"/>
    <xf numFmtId="164" fontId="0" fillId="0" borderId="21" xfId="1" applyNumberFormat="1" applyFont="1" applyBorder="1"/>
    <xf numFmtId="164" fontId="0" fillId="0" borderId="22" xfId="1" applyNumberFormat="1" applyFont="1" applyBorder="1"/>
    <xf numFmtId="164" fontId="0" fillId="0" borderId="2" xfId="1" applyNumberFormat="1" applyFont="1" applyBorder="1"/>
    <xf numFmtId="164" fontId="0" fillId="0" borderId="23" xfId="1" applyNumberFormat="1" applyFont="1" applyBorder="1"/>
    <xf numFmtId="164" fontId="0" fillId="0" borderId="24" xfId="1" applyNumberFormat="1" applyFont="1" applyBorder="1"/>
    <xf numFmtId="164" fontId="0" fillId="0" borderId="5" xfId="1" applyNumberFormat="1" applyFont="1" applyBorder="1"/>
    <xf numFmtId="164" fontId="0" fillId="0" borderId="25" xfId="1" applyNumberFormat="1" applyFont="1" applyBorder="1"/>
    <xf numFmtId="164" fontId="0" fillId="0" borderId="26" xfId="1" applyNumberFormat="1" applyFont="1" applyBorder="1"/>
    <xf numFmtId="164" fontId="0" fillId="0" borderId="8" xfId="1" applyNumberFormat="1" applyFont="1" applyBorder="1"/>
    <xf numFmtId="164" fontId="0" fillId="0" borderId="0" xfId="1" applyNumberFormat="1" applyFont="1" applyAlignment="1">
      <alignment horizontal="left"/>
    </xf>
    <xf numFmtId="164" fontId="0" fillId="0" borderId="1" xfId="1" applyNumberFormat="1" applyFont="1" applyFill="1" applyBorder="1"/>
    <xf numFmtId="164" fontId="0" fillId="0" borderId="22" xfId="1" applyNumberFormat="1" applyFont="1" applyFill="1" applyBorder="1"/>
    <xf numFmtId="164" fontId="0" fillId="0" borderId="2" xfId="1" applyNumberFormat="1" applyFont="1" applyFill="1" applyBorder="1"/>
    <xf numFmtId="0" fontId="0" fillId="0" borderId="22" xfId="0" applyBorder="1"/>
    <xf numFmtId="164" fontId="0" fillId="0" borderId="4" xfId="1" applyNumberFormat="1" applyFont="1" applyFill="1" applyBorder="1"/>
    <xf numFmtId="164" fontId="0" fillId="0" borderId="24" xfId="1" applyNumberFormat="1" applyFont="1" applyFill="1" applyBorder="1"/>
    <xf numFmtId="164" fontId="0" fillId="0" borderId="5" xfId="1" applyNumberFormat="1" applyFont="1" applyFill="1" applyBorder="1"/>
    <xf numFmtId="164" fontId="0" fillId="0" borderId="4" xfId="1" applyNumberFormat="1" applyFont="1" applyBorder="1"/>
    <xf numFmtId="0" fontId="0" fillId="0" borderId="24" xfId="0" applyBorder="1"/>
    <xf numFmtId="164" fontId="0" fillId="0" borderId="7" xfId="1" applyNumberFormat="1" applyFont="1" applyFill="1" applyBorder="1"/>
    <xf numFmtId="164" fontId="0" fillId="0" borderId="26" xfId="1" applyNumberFormat="1" applyFont="1" applyFill="1" applyBorder="1"/>
    <xf numFmtId="164" fontId="0" fillId="0" borderId="8" xfId="1" applyNumberFormat="1" applyFont="1" applyFill="1" applyBorder="1"/>
    <xf numFmtId="164" fontId="0" fillId="0" borderId="7" xfId="1" applyNumberFormat="1" applyFont="1" applyBorder="1"/>
    <xf numFmtId="0" fontId="0" fillId="0" borderId="27" xfId="0" applyBorder="1"/>
    <xf numFmtId="0" fontId="0" fillId="0" borderId="28" xfId="0" applyBorder="1"/>
    <xf numFmtId="164" fontId="0" fillId="2" borderId="10" xfId="1" applyNumberFormat="1" applyFont="1" applyFill="1" applyBorder="1"/>
    <xf numFmtId="164" fontId="0" fillId="2" borderId="29" xfId="1" applyNumberFormat="1" applyFont="1" applyFill="1" applyBorder="1"/>
    <xf numFmtId="164" fontId="0" fillId="2" borderId="30" xfId="1" applyNumberFormat="1" applyFont="1" applyFill="1" applyBorder="1"/>
    <xf numFmtId="164" fontId="0" fillId="2" borderId="29" xfId="0" applyNumberFormat="1" applyFill="1" applyBorder="1"/>
    <xf numFmtId="164" fontId="0" fillId="2" borderId="4" xfId="1" applyNumberFormat="1" applyFont="1" applyFill="1" applyBorder="1"/>
    <xf numFmtId="164" fontId="0" fillId="2" borderId="24" xfId="1" applyNumberFormat="1" applyFont="1" applyFill="1" applyBorder="1"/>
    <xf numFmtId="164" fontId="0" fillId="2" borderId="5" xfId="1" applyNumberFormat="1" applyFont="1" applyFill="1" applyBorder="1"/>
    <xf numFmtId="164" fontId="0" fillId="2" borderId="24" xfId="0" applyNumberFormat="1" applyFill="1" applyBorder="1"/>
    <xf numFmtId="164" fontId="0" fillId="2" borderId="7" xfId="1" applyNumberFormat="1" applyFont="1" applyFill="1" applyBorder="1"/>
    <xf numFmtId="164" fontId="0" fillId="2" borderId="26" xfId="1" applyNumberFormat="1" applyFont="1" applyFill="1" applyBorder="1"/>
    <xf numFmtId="164" fontId="0" fillId="2" borderId="8" xfId="1" applyNumberFormat="1" applyFont="1" applyFill="1" applyBorder="1"/>
    <xf numFmtId="164" fontId="0" fillId="2" borderId="26" xfId="0" applyNumberFormat="1" applyFill="1" applyBorder="1"/>
    <xf numFmtId="0" fontId="0" fillId="0" borderId="26" xfId="0" applyBorder="1"/>
    <xf numFmtId="164" fontId="0" fillId="3" borderId="1" xfId="1" applyNumberFormat="1" applyFont="1" applyFill="1" applyBorder="1"/>
    <xf numFmtId="164" fontId="0" fillId="3" borderId="22" xfId="1" applyNumberFormat="1" applyFont="1" applyFill="1" applyBorder="1"/>
    <xf numFmtId="164" fontId="0" fillId="3" borderId="2" xfId="1" applyNumberFormat="1" applyFont="1" applyFill="1" applyBorder="1"/>
    <xf numFmtId="164" fontId="0" fillId="3" borderId="4" xfId="1" applyNumberFormat="1" applyFont="1" applyFill="1" applyBorder="1"/>
    <xf numFmtId="164" fontId="0" fillId="3" borderId="24" xfId="1" applyNumberFormat="1" applyFont="1" applyFill="1" applyBorder="1"/>
    <xf numFmtId="164" fontId="0" fillId="3" borderId="5" xfId="1" applyNumberFormat="1" applyFont="1" applyFill="1" applyBorder="1"/>
    <xf numFmtId="164" fontId="0" fillId="3" borderId="18" xfId="1" applyNumberFormat="1" applyFont="1" applyFill="1" applyBorder="1"/>
    <xf numFmtId="164" fontId="0" fillId="3" borderId="27" xfId="1" applyNumberFormat="1" applyFont="1" applyFill="1" applyBorder="1"/>
    <xf numFmtId="164" fontId="0" fillId="3" borderId="28" xfId="1" applyNumberFormat="1" applyFont="1" applyFill="1" applyBorder="1"/>
    <xf numFmtId="164" fontId="0" fillId="4" borderId="22" xfId="1" applyNumberFormat="1" applyFont="1" applyFill="1" applyBorder="1"/>
    <xf numFmtId="164" fontId="0" fillId="2" borderId="2" xfId="1" applyNumberFormat="1" applyFont="1" applyFill="1" applyBorder="1"/>
    <xf numFmtId="164" fontId="0" fillId="4" borderId="24" xfId="1" applyNumberFormat="1" applyFont="1" applyFill="1" applyBorder="1"/>
    <xf numFmtId="164" fontId="0" fillId="4" borderId="26" xfId="1" applyNumberFormat="1" applyFont="1" applyFill="1" applyBorder="1"/>
    <xf numFmtId="164" fontId="0" fillId="3" borderId="17" xfId="1" applyNumberFormat="1" applyFont="1" applyFill="1" applyBorder="1"/>
    <xf numFmtId="164" fontId="0" fillId="3" borderId="13" xfId="1" applyNumberFormat="1" applyFont="1" applyFill="1" applyBorder="1"/>
    <xf numFmtId="164" fontId="0" fillId="3" borderId="19" xfId="1" applyNumberFormat="1" applyFont="1" applyFill="1" applyBorder="1"/>
    <xf numFmtId="164" fontId="0" fillId="4" borderId="17" xfId="1" applyNumberFormat="1" applyFont="1" applyFill="1" applyBorder="1"/>
    <xf numFmtId="164" fontId="0" fillId="4" borderId="13" xfId="1" applyNumberFormat="1" applyFont="1" applyFill="1" applyBorder="1"/>
    <xf numFmtId="164" fontId="0" fillId="4" borderId="15" xfId="1" applyNumberFormat="1" applyFont="1" applyFill="1" applyBorder="1"/>
    <xf numFmtId="164" fontId="0" fillId="3" borderId="0" xfId="1" applyNumberFormat="1" applyFont="1" applyFill="1" applyAlignment="1">
      <alignment horizontal="left"/>
    </xf>
    <xf numFmtId="0" fontId="0" fillId="3" borderId="0" xfId="0" applyFill="1"/>
    <xf numFmtId="164" fontId="0" fillId="3" borderId="0" xfId="1" applyNumberFormat="1" applyFont="1" applyFill="1"/>
    <xf numFmtId="164" fontId="0" fillId="0" borderId="1" xfId="1" applyNumberFormat="1" applyFont="1" applyBorder="1"/>
    <xf numFmtId="164" fontId="0" fillId="3" borderId="7" xfId="1" applyNumberFormat="1" applyFont="1" applyFill="1" applyBorder="1"/>
    <xf numFmtId="164" fontId="0" fillId="3" borderId="26" xfId="1" applyNumberFormat="1" applyFont="1" applyFill="1" applyBorder="1"/>
    <xf numFmtId="164" fontId="0" fillId="3" borderId="8" xfId="1" applyNumberFormat="1" applyFont="1" applyFill="1" applyBorder="1"/>
    <xf numFmtId="0" fontId="0" fillId="0" borderId="0" xfId="0" applyAlignment="1">
      <alignment vertical="top" wrapText="1"/>
    </xf>
    <xf numFmtId="164" fontId="0" fillId="0" borderId="0" xfId="1" applyNumberFormat="1" applyFont="1" applyBorder="1"/>
    <xf numFmtId="0" fontId="1" fillId="0" borderId="2" xfId="0" applyFont="1" applyBorder="1"/>
    <xf numFmtId="164" fontId="0" fillId="2" borderId="21" xfId="1" applyNumberFormat="1" applyFont="1" applyFill="1" applyBorder="1"/>
    <xf numFmtId="164" fontId="0" fillId="2" borderId="22" xfId="1" applyNumberFormat="1" applyFont="1" applyFill="1" applyBorder="1"/>
    <xf numFmtId="0" fontId="14" fillId="0" borderId="0" xfId="0" applyFont="1"/>
    <xf numFmtId="164" fontId="0" fillId="2" borderId="1" xfId="1" applyNumberFormat="1" applyFont="1" applyFill="1" applyBorder="1"/>
    <xf numFmtId="164" fontId="0" fillId="2" borderId="23" xfId="1" applyNumberFormat="1" applyFont="1" applyFill="1" applyBorder="1"/>
    <xf numFmtId="164" fontId="0" fillId="2" borderId="25" xfId="1" applyNumberFormat="1" applyFont="1" applyFill="1" applyBorder="1"/>
    <xf numFmtId="164" fontId="0" fillId="0" borderId="21" xfId="1" applyNumberFormat="1" applyFont="1" applyFill="1" applyBorder="1"/>
    <xf numFmtId="164" fontId="0" fillId="0" borderId="23" xfId="1" applyNumberFormat="1" applyFont="1" applyFill="1" applyBorder="1"/>
    <xf numFmtId="164" fontId="0" fillId="0" borderId="25" xfId="1" applyNumberFormat="1" applyFont="1" applyFill="1" applyBorder="1"/>
    <xf numFmtId="164" fontId="0" fillId="4" borderId="2" xfId="1" applyNumberFormat="1" applyFont="1" applyFill="1" applyBorder="1"/>
    <xf numFmtId="164" fontId="0" fillId="4" borderId="5" xfId="1" applyNumberFormat="1" applyFont="1" applyFill="1" applyBorder="1"/>
    <xf numFmtId="164" fontId="0" fillId="4" borderId="8" xfId="1" applyNumberFormat="1" applyFont="1" applyFill="1" applyBorder="1"/>
    <xf numFmtId="0" fontId="0" fillId="5" borderId="17" xfId="0" applyFill="1" applyBorder="1"/>
    <xf numFmtId="0" fontId="0" fillId="5" borderId="13" xfId="0" applyFill="1" applyBorder="1"/>
    <xf numFmtId="0" fontId="0" fillId="5" borderId="15" xfId="0" applyFill="1" applyBorder="1"/>
    <xf numFmtId="0" fontId="15" fillId="0" borderId="0" xfId="0" applyFont="1"/>
    <xf numFmtId="0" fontId="0" fillId="6" borderId="0" xfId="0" applyFill="1"/>
    <xf numFmtId="0" fontId="0" fillId="7" borderId="0" xfId="0" applyFill="1"/>
    <xf numFmtId="0" fontId="4" fillId="6" borderId="0" xfId="0" applyFont="1" applyFill="1"/>
    <xf numFmtId="0" fontId="0" fillId="8" borderId="0" xfId="0" applyFill="1"/>
    <xf numFmtId="0" fontId="1" fillId="8" borderId="0" xfId="0" applyFont="1" applyFill="1"/>
    <xf numFmtId="0" fontId="0" fillId="5" borderId="39" xfId="0" applyFill="1" applyBorder="1"/>
    <xf numFmtId="0" fontId="0" fillId="0" borderId="0" xfId="0" applyAlignment="1">
      <alignment horizontal="left" wrapText="1" indent="2"/>
    </xf>
    <xf numFmtId="0" fontId="0" fillId="9" borderId="0" xfId="0" applyFill="1" applyAlignment="1">
      <alignment horizontal="left" wrapText="1" indent="2"/>
    </xf>
    <xf numFmtId="0" fontId="0" fillId="4" borderId="0" xfId="0" applyFill="1" applyAlignment="1">
      <alignment horizontal="left" wrapText="1" indent="2"/>
    </xf>
    <xf numFmtId="0" fontId="12" fillId="8" borderId="0" xfId="0" applyFont="1" applyFill="1" applyAlignment="1">
      <alignment wrapText="1"/>
    </xf>
    <xf numFmtId="0" fontId="1" fillId="0" borderId="0" xfId="0" applyFont="1" applyAlignment="1">
      <alignment wrapText="1"/>
    </xf>
    <xf numFmtId="0" fontId="0" fillId="8" borderId="0" xfId="0" applyFill="1" applyAlignment="1">
      <alignment wrapText="1"/>
    </xf>
    <xf numFmtId="0" fontId="1" fillId="0" borderId="0" xfId="0" applyFont="1" applyAlignment="1">
      <alignment vertical="center" wrapText="1"/>
    </xf>
    <xf numFmtId="0" fontId="0" fillId="0" borderId="0" xfId="0" applyAlignment="1">
      <alignment vertical="center"/>
    </xf>
    <xf numFmtId="0" fontId="12" fillId="10" borderId="0" xfId="0" applyFont="1" applyFill="1" applyAlignment="1">
      <alignment wrapText="1"/>
    </xf>
    <xf numFmtId="0" fontId="0" fillId="10" borderId="0" xfId="0" applyFill="1"/>
    <xf numFmtId="0" fontId="0" fillId="5" borderId="0" xfId="0" applyFill="1"/>
    <xf numFmtId="0" fontId="0" fillId="5" borderId="2" xfId="0" applyFill="1" applyBorder="1"/>
    <xf numFmtId="0" fontId="0" fillId="5" borderId="5" xfId="0" applyFill="1" applyBorder="1"/>
    <xf numFmtId="0" fontId="0" fillId="5" borderId="8" xfId="0" applyFill="1" applyBorder="1"/>
    <xf numFmtId="0" fontId="1" fillId="0" borderId="0" xfId="0" applyFont="1" applyAlignment="1">
      <alignment horizontal="right"/>
    </xf>
    <xf numFmtId="0" fontId="1" fillId="0" borderId="0" xfId="0" applyFont="1" applyAlignment="1">
      <alignment horizontal="left"/>
    </xf>
    <xf numFmtId="0" fontId="0" fillId="3" borderId="0" xfId="0" applyFill="1" applyAlignment="1">
      <alignment horizontal="right"/>
    </xf>
    <xf numFmtId="0" fontId="0" fillId="3" borderId="0" xfId="0" applyFill="1" applyAlignment="1">
      <alignment horizontal="left"/>
    </xf>
    <xf numFmtId="0" fontId="0" fillId="9" borderId="0" xfId="0" applyFill="1"/>
    <xf numFmtId="0" fontId="17" fillId="0" borderId="0" xfId="0" applyFont="1"/>
    <xf numFmtId="0" fontId="19" fillId="11" borderId="31" xfId="0" applyFont="1" applyFill="1" applyBorder="1" applyAlignment="1">
      <alignment horizontal="center" vertical="center" wrapText="1"/>
    </xf>
    <xf numFmtId="0" fontId="19" fillId="11" borderId="38" xfId="0" applyFont="1" applyFill="1" applyBorder="1" applyAlignment="1">
      <alignment horizontal="center" vertical="center" wrapText="1"/>
    </xf>
    <xf numFmtId="0" fontId="19" fillId="0" borderId="31" xfId="0" applyFont="1" applyBorder="1" applyAlignment="1">
      <alignment horizontal="center" vertical="center" wrapText="1"/>
    </xf>
    <xf numFmtId="0" fontId="19" fillId="0" borderId="38" xfId="0" applyFont="1" applyBorder="1" applyAlignment="1">
      <alignment horizontal="center" vertical="center" wrapText="1"/>
    </xf>
    <xf numFmtId="0" fontId="19" fillId="0" borderId="43" xfId="0" applyFont="1" applyBorder="1" applyAlignment="1">
      <alignment horizontal="center" vertical="center" wrapText="1"/>
    </xf>
    <xf numFmtId="0" fontId="20" fillId="11" borderId="38" xfId="0" applyFont="1" applyFill="1" applyBorder="1" applyAlignment="1">
      <alignment horizontal="center" vertical="center" wrapText="1"/>
    </xf>
    <xf numFmtId="0" fontId="20" fillId="0" borderId="38" xfId="0" applyFont="1" applyBorder="1" applyAlignment="1">
      <alignment horizontal="center" vertical="center" wrapText="1"/>
    </xf>
    <xf numFmtId="0" fontId="21" fillId="0" borderId="47" xfId="0" applyFont="1" applyBorder="1" applyAlignment="1">
      <alignment horizontal="center" vertical="center" wrapText="1"/>
    </xf>
    <xf numFmtId="0" fontId="21" fillId="0" borderId="48" xfId="0" applyFont="1" applyBorder="1" applyAlignment="1">
      <alignment horizontal="center" vertical="center" wrapText="1"/>
    </xf>
    <xf numFmtId="0" fontId="0" fillId="0" borderId="48" xfId="0" applyBorder="1" applyAlignment="1">
      <alignment vertical="center" wrapText="1"/>
    </xf>
    <xf numFmtId="0" fontId="18" fillId="0" borderId="0" xfId="0" applyFont="1" applyAlignment="1">
      <alignment vertical="center" wrapText="1"/>
    </xf>
    <xf numFmtId="0" fontId="23" fillId="0" borderId="40" xfId="0" applyFont="1" applyBorder="1" applyAlignment="1">
      <alignment horizontal="center" vertical="center" wrapText="1"/>
    </xf>
    <xf numFmtId="0" fontId="23" fillId="0" borderId="43" xfId="0" applyFont="1" applyBorder="1" applyAlignment="1">
      <alignment horizontal="center" vertical="center" wrapText="1"/>
    </xf>
    <xf numFmtId="0" fontId="22" fillId="11" borderId="38" xfId="0" applyFont="1" applyFill="1" applyBorder="1" applyAlignment="1">
      <alignment horizontal="center" vertical="center" wrapText="1"/>
    </xf>
    <xf numFmtId="0" fontId="22" fillId="0" borderId="38" xfId="0" applyFont="1" applyBorder="1" applyAlignment="1">
      <alignment horizontal="center" vertical="center" wrapText="1"/>
    </xf>
    <xf numFmtId="0" fontId="25" fillId="0" borderId="38" xfId="0" applyFont="1" applyBorder="1" applyAlignment="1">
      <alignment horizontal="center" vertical="center" wrapText="1"/>
    </xf>
    <xf numFmtId="0" fontId="23" fillId="12" borderId="43" xfId="0" applyFont="1" applyFill="1" applyBorder="1" applyAlignment="1">
      <alignment horizontal="center" vertical="center" wrapText="1"/>
    </xf>
    <xf numFmtId="0" fontId="24" fillId="11" borderId="38" xfId="0" applyFont="1" applyFill="1" applyBorder="1" applyAlignment="1">
      <alignment horizontal="center" vertical="center" wrapText="1"/>
    </xf>
    <xf numFmtId="0" fontId="24" fillId="0" borderId="38" xfId="0" applyFont="1" applyBorder="1" applyAlignment="1">
      <alignment horizontal="center" vertical="center" wrapText="1"/>
    </xf>
    <xf numFmtId="0" fontId="26" fillId="13" borderId="50" xfId="0" applyFont="1" applyFill="1" applyBorder="1" applyAlignment="1">
      <alignment vertical="center" wrapText="1"/>
    </xf>
    <xf numFmtId="0" fontId="26" fillId="13" borderId="51" xfId="0" applyFont="1" applyFill="1" applyBorder="1" applyAlignment="1">
      <alignment vertical="center" wrapText="1"/>
    </xf>
    <xf numFmtId="0" fontId="24" fillId="14" borderId="51" xfId="0" applyFont="1" applyFill="1" applyBorder="1" applyAlignment="1">
      <alignment vertical="center" wrapText="1"/>
    </xf>
    <xf numFmtId="0" fontId="24" fillId="14" borderId="53" xfId="0" applyFont="1" applyFill="1" applyBorder="1" applyAlignment="1">
      <alignment vertical="center" wrapText="1"/>
    </xf>
    <xf numFmtId="0" fontId="23" fillId="14" borderId="51" xfId="0" applyFont="1" applyFill="1" applyBorder="1" applyAlignment="1">
      <alignment vertical="center" wrapText="1"/>
    </xf>
    <xf numFmtId="0" fontId="12" fillId="5" borderId="0" xfId="0" applyFont="1" applyFill="1" applyAlignment="1">
      <alignment wrapText="1"/>
    </xf>
    <xf numFmtId="0" fontId="21" fillId="0" borderId="44" xfId="0" applyFont="1" applyBorder="1" applyAlignment="1">
      <alignment horizontal="center" vertical="center" wrapText="1"/>
    </xf>
    <xf numFmtId="0" fontId="0" fillId="5" borderId="0" xfId="0" applyFill="1" applyAlignment="1">
      <alignment horizontal="right"/>
    </xf>
    <xf numFmtId="0" fontId="0" fillId="5" borderId="0" xfId="0" applyFill="1" applyAlignment="1">
      <alignment horizontal="left"/>
    </xf>
    <xf numFmtId="0" fontId="28" fillId="11" borderId="38" xfId="0" applyFont="1" applyFill="1" applyBorder="1" applyAlignment="1">
      <alignment horizontal="center" vertical="center" wrapText="1"/>
    </xf>
    <xf numFmtId="0" fontId="29" fillId="11" borderId="38" xfId="0" applyFont="1" applyFill="1" applyBorder="1" applyAlignment="1">
      <alignment horizontal="center" vertical="center" wrapText="1"/>
    </xf>
    <xf numFmtId="0" fontId="30" fillId="11" borderId="38" xfId="0" applyFont="1" applyFill="1" applyBorder="1" applyAlignment="1">
      <alignment horizontal="center" vertical="center" wrapText="1"/>
    </xf>
    <xf numFmtId="0" fontId="19" fillId="0" borderId="43" xfId="0" applyFont="1" applyBorder="1" applyAlignment="1">
      <alignment vertical="center" wrapText="1"/>
    </xf>
    <xf numFmtId="0" fontId="19" fillId="0" borderId="43" xfId="0" applyFont="1" applyBorder="1" applyAlignment="1">
      <alignment horizontal="right" vertical="center" wrapText="1"/>
    </xf>
    <xf numFmtId="0" fontId="19" fillId="0" borderId="40" xfId="0" applyFont="1" applyBorder="1" applyAlignment="1">
      <alignment horizontal="center" vertical="center" wrapText="1"/>
    </xf>
    <xf numFmtId="0" fontId="20" fillId="11" borderId="38" xfId="0" applyFont="1" applyFill="1" applyBorder="1" applyAlignment="1">
      <alignment vertical="center" wrapText="1"/>
    </xf>
    <xf numFmtId="0" fontId="20" fillId="0" borderId="38" xfId="0" applyFont="1" applyBorder="1" applyAlignment="1">
      <alignment vertical="center" wrapText="1"/>
    </xf>
    <xf numFmtId="0" fontId="23" fillId="0" borderId="43" xfId="0" applyFont="1" applyBorder="1" applyAlignment="1">
      <alignment horizontal="left" vertical="center" wrapText="1"/>
    </xf>
    <xf numFmtId="0" fontId="31" fillId="0" borderId="0" xfId="0" applyFont="1"/>
    <xf numFmtId="0" fontId="33" fillId="0" borderId="31" xfId="0" applyFont="1" applyBorder="1" applyAlignment="1">
      <alignment horizontal="center" vertical="center" wrapText="1"/>
    </xf>
    <xf numFmtId="0" fontId="34" fillId="0" borderId="38" xfId="0" applyFont="1" applyBorder="1" applyAlignment="1">
      <alignment horizontal="center" vertical="center" wrapText="1"/>
    </xf>
    <xf numFmtId="0" fontId="35" fillId="0" borderId="38" xfId="0" applyFont="1" applyBorder="1" applyAlignment="1">
      <alignment horizontal="center" vertical="center" wrapText="1"/>
    </xf>
    <xf numFmtId="0" fontId="36" fillId="0" borderId="38" xfId="0" applyFont="1" applyBorder="1" applyAlignment="1">
      <alignment horizontal="center" vertical="center" wrapText="1"/>
    </xf>
    <xf numFmtId="0" fontId="37" fillId="0" borderId="38" xfId="0" applyFont="1" applyBorder="1" applyAlignment="1">
      <alignment horizontal="center" vertical="center" wrapText="1"/>
    </xf>
    <xf numFmtId="0" fontId="38" fillId="0" borderId="38" xfId="0" applyFont="1" applyBorder="1" applyAlignment="1">
      <alignment horizontal="center" vertical="center" wrapText="1"/>
    </xf>
    <xf numFmtId="0" fontId="23" fillId="0" borderId="42" xfId="0" applyFont="1" applyBorder="1" applyAlignment="1">
      <alignment horizontal="center" vertical="center" wrapText="1"/>
    </xf>
    <xf numFmtId="0" fontId="39" fillId="0" borderId="38" xfId="0" applyFont="1" applyBorder="1" applyAlignment="1">
      <alignment horizontal="center" vertical="center" wrapText="1"/>
    </xf>
    <xf numFmtId="0" fontId="40" fillId="0" borderId="38" xfId="0" applyFont="1" applyBorder="1" applyAlignment="1">
      <alignment horizontal="center" vertical="center" wrapText="1"/>
    </xf>
    <xf numFmtId="0" fontId="39" fillId="5" borderId="38" xfId="0" applyFont="1" applyFill="1" applyBorder="1" applyAlignment="1">
      <alignment horizontal="center" vertical="center" wrapText="1"/>
    </xf>
    <xf numFmtId="0" fontId="41" fillId="13" borderId="51" xfId="0" applyFont="1" applyFill="1" applyBorder="1" applyAlignment="1">
      <alignment vertical="center" wrapText="1"/>
    </xf>
    <xf numFmtId="0" fontId="42" fillId="13" borderId="51" xfId="0" applyFont="1" applyFill="1" applyBorder="1" applyAlignment="1">
      <alignment vertical="center" wrapText="1"/>
    </xf>
    <xf numFmtId="0" fontId="43" fillId="11" borderId="38" xfId="0" applyFont="1" applyFill="1" applyBorder="1" applyAlignment="1">
      <alignment horizontal="center" vertical="center" wrapText="1"/>
    </xf>
    <xf numFmtId="0" fontId="43" fillId="0" borderId="38" xfId="0" applyFont="1" applyBorder="1" applyAlignment="1">
      <alignment horizontal="center" vertical="center" wrapText="1"/>
    </xf>
    <xf numFmtId="0" fontId="44" fillId="0" borderId="0" xfId="0" applyFont="1"/>
    <xf numFmtId="0" fontId="27" fillId="0" borderId="0" xfId="0" applyFont="1"/>
    <xf numFmtId="0" fontId="45" fillId="0" borderId="0" xfId="0" applyFont="1"/>
    <xf numFmtId="0" fontId="46" fillId="0" borderId="0" xfId="0" applyFont="1" applyAlignment="1">
      <alignment wrapText="1"/>
    </xf>
    <xf numFmtId="0" fontId="8" fillId="0" borderId="40" xfId="0" applyFont="1" applyBorder="1" applyAlignment="1">
      <alignment vertical="top" wrapText="1"/>
    </xf>
    <xf numFmtId="0" fontId="23" fillId="0" borderId="43" xfId="0" applyFont="1" applyBorder="1" applyAlignment="1">
      <alignment vertical="center" wrapText="1"/>
    </xf>
    <xf numFmtId="0" fontId="8" fillId="0" borderId="38" xfId="0" applyFont="1" applyBorder="1" applyAlignment="1">
      <alignment vertical="center"/>
    </xf>
    <xf numFmtId="0" fontId="23" fillId="0" borderId="43" xfId="0" applyFont="1" applyBorder="1" applyAlignment="1">
      <alignment horizontal="left" vertical="center" wrapText="1" indent="3"/>
    </xf>
    <xf numFmtId="0" fontId="24" fillId="0" borderId="38" xfId="0" applyFont="1" applyBorder="1" applyAlignment="1">
      <alignment horizontal="center" vertical="center"/>
    </xf>
    <xf numFmtId="3" fontId="24" fillId="0" borderId="38" xfId="0" applyNumberFormat="1" applyFont="1" applyBorder="1" applyAlignment="1">
      <alignment horizontal="center" vertical="center"/>
    </xf>
    <xf numFmtId="0" fontId="24" fillId="15" borderId="38" xfId="0" applyFont="1" applyFill="1" applyBorder="1" applyAlignment="1">
      <alignment horizontal="center" vertical="center"/>
    </xf>
    <xf numFmtId="0" fontId="49" fillId="0" borderId="0" xfId="0" applyFont="1" applyAlignment="1">
      <alignment vertical="center"/>
    </xf>
    <xf numFmtId="0" fontId="23" fillId="6" borderId="43" xfId="0" applyFont="1" applyFill="1" applyBorder="1" applyAlignment="1">
      <alignment vertical="center" wrapText="1"/>
    </xf>
    <xf numFmtId="0" fontId="23" fillId="6" borderId="38" xfId="0" applyFont="1" applyFill="1" applyBorder="1" applyAlignment="1">
      <alignment horizontal="center" vertical="center"/>
    </xf>
    <xf numFmtId="0" fontId="23" fillId="6" borderId="38" xfId="0" applyFont="1" applyFill="1" applyBorder="1" applyAlignment="1">
      <alignment horizontal="center" vertical="center" wrapText="1"/>
    </xf>
    <xf numFmtId="0" fontId="0" fillId="16" borderId="0" xfId="0" applyFill="1"/>
    <xf numFmtId="0" fontId="23" fillId="16" borderId="43" xfId="0" applyFont="1" applyFill="1" applyBorder="1" applyAlignment="1">
      <alignment vertical="center" wrapText="1"/>
    </xf>
    <xf numFmtId="0" fontId="8" fillId="16" borderId="38" xfId="0" applyFont="1" applyFill="1" applyBorder="1" applyAlignment="1">
      <alignment vertical="center"/>
    </xf>
    <xf numFmtId="0" fontId="22" fillId="16" borderId="38" xfId="0" applyFont="1" applyFill="1" applyBorder="1" applyAlignment="1">
      <alignment horizontal="center" vertical="center" wrapText="1"/>
    </xf>
    <xf numFmtId="0" fontId="24" fillId="0" borderId="31" xfId="0" applyFont="1" applyBorder="1" applyAlignment="1">
      <alignment horizontal="center" vertical="center"/>
    </xf>
    <xf numFmtId="0" fontId="1" fillId="4" borderId="0" xfId="0" applyFont="1" applyFill="1" applyAlignment="1">
      <alignment wrapText="1"/>
    </xf>
    <xf numFmtId="0" fontId="51" fillId="0" borderId="0" xfId="0" applyFont="1" applyAlignment="1">
      <alignment vertical="center"/>
    </xf>
    <xf numFmtId="0" fontId="5" fillId="0" borderId="0" xfId="0" applyFont="1" applyAlignment="1">
      <alignment vertical="center"/>
    </xf>
    <xf numFmtId="0" fontId="52" fillId="0" borderId="40" xfId="0" applyFont="1" applyBorder="1" applyAlignment="1">
      <alignment horizontal="center" vertical="center" wrapText="1"/>
    </xf>
    <xf numFmtId="0" fontId="52" fillId="11" borderId="31" xfId="0" applyFont="1" applyFill="1" applyBorder="1" applyAlignment="1">
      <alignment horizontal="center" vertical="center" wrapText="1"/>
    </xf>
    <xf numFmtId="0" fontId="52" fillId="11" borderId="38" xfId="0" applyFont="1" applyFill="1" applyBorder="1" applyAlignment="1">
      <alignment horizontal="center" vertical="center" wrapText="1"/>
    </xf>
    <xf numFmtId="0" fontId="52" fillId="0" borderId="31" xfId="0" applyFont="1" applyBorder="1" applyAlignment="1">
      <alignment horizontal="center" vertical="center" wrapText="1"/>
    </xf>
    <xf numFmtId="0" fontId="52" fillId="0" borderId="38" xfId="0" applyFont="1" applyBorder="1" applyAlignment="1">
      <alignment horizontal="center" vertical="center" wrapText="1"/>
    </xf>
    <xf numFmtId="0" fontId="8" fillId="0" borderId="0" xfId="0" applyFont="1" applyAlignment="1">
      <alignment vertical="center" wrapText="1"/>
    </xf>
    <xf numFmtId="0" fontId="52" fillId="11" borderId="46" xfId="0" applyFont="1" applyFill="1" applyBorder="1" applyAlignment="1">
      <alignment horizontal="center" vertical="center" wrapText="1"/>
    </xf>
    <xf numFmtId="0" fontId="52" fillId="11" borderId="45" xfId="0" applyFont="1" applyFill="1" applyBorder="1" applyAlignment="1">
      <alignment horizontal="center" vertical="center" wrapText="1"/>
    </xf>
    <xf numFmtId="0" fontId="52" fillId="11" borderId="44" xfId="0" applyFont="1" applyFill="1" applyBorder="1" applyAlignment="1">
      <alignment horizontal="center" vertical="center" wrapText="1"/>
    </xf>
    <xf numFmtId="0" fontId="52" fillId="0" borderId="46" xfId="0" applyFont="1" applyBorder="1" applyAlignment="1">
      <alignment horizontal="center" vertical="center" wrapText="1"/>
    </xf>
    <xf numFmtId="0" fontId="52" fillId="0" borderId="45" xfId="0" applyFont="1" applyBorder="1" applyAlignment="1">
      <alignment horizontal="center" vertical="center" wrapText="1"/>
    </xf>
    <xf numFmtId="0" fontId="52" fillId="0" borderId="44" xfId="0" applyFont="1" applyBorder="1" applyAlignment="1">
      <alignment horizontal="center" vertical="center" wrapText="1"/>
    </xf>
    <xf numFmtId="0" fontId="52" fillId="0" borderId="41" xfId="0" applyFont="1" applyBorder="1" applyAlignment="1">
      <alignment horizontal="center" vertical="center" wrapText="1"/>
    </xf>
    <xf numFmtId="0" fontId="52" fillId="0" borderId="43" xfId="0" applyFont="1" applyBorder="1" applyAlignment="1">
      <alignment horizontal="center" vertical="center" wrapText="1"/>
    </xf>
    <xf numFmtId="0" fontId="52" fillId="11" borderId="41" xfId="0" applyFont="1" applyFill="1" applyBorder="1" applyAlignment="1">
      <alignment horizontal="center" vertical="center" wrapText="1"/>
    </xf>
    <xf numFmtId="0" fontId="52" fillId="11" borderId="43" xfId="0" applyFont="1" applyFill="1" applyBorder="1" applyAlignment="1">
      <alignment horizontal="center" vertical="center" wrapText="1"/>
    </xf>
    <xf numFmtId="0" fontId="23" fillId="17" borderId="46" xfId="0" applyFont="1" applyFill="1" applyBorder="1" applyAlignment="1">
      <alignment horizontal="center" vertical="center"/>
    </xf>
    <xf numFmtId="0" fontId="23" fillId="17" borderId="45" xfId="0" applyFont="1" applyFill="1" applyBorder="1" applyAlignment="1">
      <alignment horizontal="center" vertical="center"/>
    </xf>
    <xf numFmtId="0" fontId="23" fillId="17" borderId="44" xfId="0" applyFont="1" applyFill="1" applyBorder="1" applyAlignment="1">
      <alignment horizontal="center" vertical="center"/>
    </xf>
    <xf numFmtId="0" fontId="23" fillId="4" borderId="46" xfId="0" applyFont="1" applyFill="1" applyBorder="1" applyAlignment="1">
      <alignment horizontal="center" vertical="center"/>
    </xf>
    <xf numFmtId="0" fontId="23" fillId="4" borderId="45" xfId="0" applyFont="1" applyFill="1" applyBorder="1" applyAlignment="1">
      <alignment horizontal="center" vertical="center"/>
    </xf>
    <xf numFmtId="0" fontId="23" fillId="4" borderId="44" xfId="0" applyFont="1" applyFill="1" applyBorder="1" applyAlignment="1">
      <alignment horizontal="center" vertical="center"/>
    </xf>
    <xf numFmtId="0" fontId="0" fillId="3" borderId="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 xfId="0" applyFill="1" applyBorder="1" applyAlignment="1">
      <alignment horizontal="center" vertical="center" wrapText="1"/>
    </xf>
    <xf numFmtId="0" fontId="0" fillId="3" borderId="4"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5" xfId="0" applyFill="1" applyBorder="1" applyAlignment="1">
      <alignment horizontal="center" vertical="center" wrapText="1"/>
    </xf>
    <xf numFmtId="0" fontId="0" fillId="3" borderId="7" xfId="0" applyFill="1" applyBorder="1" applyAlignment="1">
      <alignment horizontal="center" vertical="center" wrapText="1"/>
    </xf>
    <xf numFmtId="0" fontId="0" fillId="3" borderId="26" xfId="0" applyFill="1" applyBorder="1" applyAlignment="1">
      <alignment horizontal="center" vertical="center" wrapText="1"/>
    </xf>
    <xf numFmtId="0" fontId="0" fillId="3" borderId="8" xfId="0" applyFill="1" applyBorder="1" applyAlignment="1">
      <alignment horizontal="center" vertical="center" wrapText="1"/>
    </xf>
    <xf numFmtId="0" fontId="16" fillId="0" borderId="31" xfId="0" applyFont="1" applyBorder="1" applyAlignment="1">
      <alignment horizontal="center" vertical="center" wrapText="1"/>
    </xf>
    <xf numFmtId="0" fontId="0" fillId="0" borderId="10" xfId="0" applyBorder="1" applyAlignment="1">
      <alignment horizontal="left" vertical="center" wrapText="1"/>
    </xf>
    <xf numFmtId="0" fontId="0" fillId="0" borderId="29" xfId="0" applyBorder="1" applyAlignment="1">
      <alignment horizontal="left" vertical="center" wrapText="1"/>
    </xf>
    <xf numFmtId="0" fontId="0" fillId="0" borderId="30" xfId="0" applyBorder="1" applyAlignment="1">
      <alignment horizontal="left" vertical="center" wrapText="1"/>
    </xf>
    <xf numFmtId="0" fontId="0" fillId="0" borderId="4" xfId="0" applyBorder="1" applyAlignment="1">
      <alignment horizontal="left" vertical="center" wrapText="1"/>
    </xf>
    <xf numFmtId="0" fontId="0" fillId="0" borderId="24" xfId="0" applyBorder="1" applyAlignment="1">
      <alignment horizontal="left"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0" fontId="0" fillId="0" borderId="26" xfId="0" applyBorder="1" applyAlignment="1">
      <alignment horizontal="left" vertical="center" wrapText="1"/>
    </xf>
    <xf numFmtId="0" fontId="0" fillId="0" borderId="8" xfId="0" applyBorder="1" applyAlignment="1">
      <alignment horizontal="left" vertical="center" wrapText="1"/>
    </xf>
    <xf numFmtId="0" fontId="0" fillId="0" borderId="0" xfId="0" applyAlignment="1">
      <alignment horizontal="left" vertical="top" wrapText="1"/>
    </xf>
    <xf numFmtId="0" fontId="0" fillId="0" borderId="31" xfId="0" applyBorder="1" applyAlignment="1">
      <alignment horizontal="left" vertical="top"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4" xfId="0" applyBorder="1" applyAlignment="1">
      <alignment horizontal="left" vertical="center" wrapText="1"/>
    </xf>
    <xf numFmtId="0" fontId="0" fillId="0" borderId="35" xfId="0" applyBorder="1" applyAlignment="1">
      <alignment horizontal="left" vertical="center" wrapText="1"/>
    </xf>
    <xf numFmtId="0" fontId="0" fillId="0" borderId="0" xfId="0" applyAlignment="1">
      <alignment horizontal="left" vertical="center" wrapText="1"/>
    </xf>
    <xf numFmtId="0" fontId="0" fillId="0" borderId="31" xfId="0" applyBorder="1" applyAlignment="1">
      <alignment horizontal="left" vertical="center" wrapText="1"/>
    </xf>
    <xf numFmtId="0" fontId="0" fillId="0" borderId="36" xfId="0" applyBorder="1" applyAlignment="1">
      <alignment horizontal="left" vertical="center" wrapText="1"/>
    </xf>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31" xfId="0" applyBorder="1" applyAlignment="1">
      <alignment horizontal="left" vertical="top"/>
    </xf>
    <xf numFmtId="0" fontId="21" fillId="0" borderId="49" xfId="0" applyFont="1" applyBorder="1" applyAlignment="1">
      <alignment horizontal="center" vertical="center" wrapText="1"/>
    </xf>
    <xf numFmtId="0" fontId="21" fillId="0" borderId="45" xfId="0" applyFont="1" applyBorder="1" applyAlignment="1">
      <alignment horizontal="center" vertical="center" wrapText="1"/>
    </xf>
    <xf numFmtId="0" fontId="21" fillId="0" borderId="44" xfId="0" applyFont="1" applyBorder="1" applyAlignment="1">
      <alignment horizontal="center" vertical="center" wrapText="1"/>
    </xf>
    <xf numFmtId="0" fontId="21" fillId="0" borderId="46" xfId="0" applyFont="1" applyBorder="1" applyAlignment="1">
      <alignment horizontal="center" vertical="center" wrapText="1"/>
    </xf>
    <xf numFmtId="0" fontId="32" fillId="0" borderId="46" xfId="0" applyFont="1" applyBorder="1" applyAlignment="1">
      <alignment horizontal="center" vertical="center" wrapText="1"/>
    </xf>
    <xf numFmtId="0" fontId="32" fillId="0" borderId="45" xfId="0" applyFont="1" applyBorder="1" applyAlignment="1">
      <alignment horizontal="center" vertical="center" wrapText="1"/>
    </xf>
    <xf numFmtId="0" fontId="23" fillId="11" borderId="49" xfId="0" applyFont="1" applyFill="1" applyBorder="1" applyAlignment="1">
      <alignment horizontal="center" vertical="center" wrapText="1"/>
    </xf>
    <xf numFmtId="0" fontId="23" fillId="11" borderId="44" xfId="0" applyFont="1" applyFill="1" applyBorder="1" applyAlignment="1">
      <alignment horizontal="center" vertical="center" wrapText="1"/>
    </xf>
    <xf numFmtId="0" fontId="23" fillId="11" borderId="46" xfId="0" applyFont="1" applyFill="1" applyBorder="1" applyAlignment="1">
      <alignment horizontal="center" vertical="center" wrapText="1"/>
    </xf>
    <xf numFmtId="0" fontId="32" fillId="0" borderId="44" xfId="0" applyFont="1" applyBorder="1" applyAlignment="1">
      <alignment horizontal="center" vertical="center" wrapText="1"/>
    </xf>
    <xf numFmtId="0" fontId="19" fillId="0" borderId="41" xfId="0" applyFont="1" applyBorder="1" applyAlignment="1">
      <alignment horizontal="center" vertical="center" wrapText="1"/>
    </xf>
    <xf numFmtId="0" fontId="19" fillId="0" borderId="42" xfId="0" applyFont="1" applyBorder="1" applyAlignment="1">
      <alignment horizontal="center" vertical="center" wrapText="1"/>
    </xf>
    <xf numFmtId="0" fontId="19" fillId="0" borderId="43" xfId="0" applyFont="1" applyBorder="1" applyAlignment="1">
      <alignment horizontal="center" vertical="center" wrapText="1"/>
    </xf>
    <xf numFmtId="0" fontId="19" fillId="11" borderId="46" xfId="0" applyFont="1" applyFill="1" applyBorder="1" applyAlignment="1">
      <alignment horizontal="center" vertical="center" wrapText="1"/>
    </xf>
    <xf numFmtId="0" fontId="19" fillId="11" borderId="45"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0" borderId="46" xfId="0" applyFont="1" applyBorder="1" applyAlignment="1">
      <alignment horizontal="center" vertical="center" wrapText="1"/>
    </xf>
    <xf numFmtId="0" fontId="19" fillId="0" borderId="45" xfId="0" applyFont="1" applyBorder="1" applyAlignment="1">
      <alignment horizontal="center" vertical="center" wrapText="1"/>
    </xf>
    <xf numFmtId="0" fontId="19" fillId="0" borderId="44" xfId="0" applyFont="1" applyBorder="1" applyAlignment="1">
      <alignment horizontal="center" vertical="center" wrapText="1"/>
    </xf>
    <xf numFmtId="0" fontId="26" fillId="13" borderId="52" xfId="0" applyFont="1" applyFill="1" applyBorder="1" applyAlignment="1">
      <alignment vertical="center" wrapText="1"/>
    </xf>
    <xf numFmtId="0" fontId="26" fillId="13" borderId="53" xfId="0" applyFont="1" applyFill="1" applyBorder="1" applyAlignment="1">
      <alignment vertical="center" wrapText="1"/>
    </xf>
    <xf numFmtId="0" fontId="19" fillId="11" borderId="41"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8" fillId="0" borderId="32" xfId="0" applyFont="1" applyBorder="1" applyAlignment="1">
      <alignment vertical="center" wrapText="1"/>
    </xf>
    <xf numFmtId="0" fontId="18" fillId="0" borderId="35" xfId="0" applyFont="1" applyBorder="1" applyAlignment="1">
      <alignment vertical="center" wrapText="1"/>
    </xf>
    <xf numFmtId="3" fontId="26" fillId="0" borderId="0" xfId="0" applyNumberFormat="1" applyFont="1"/>
    <xf numFmtId="3" fontId="41" fillId="0" borderId="0" xfId="0" applyNumberFormat="1" applyFont="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5</xdr:col>
      <xdr:colOff>343141</xdr:colOff>
      <xdr:row>12</xdr:row>
      <xdr:rowOff>134726</xdr:rowOff>
    </xdr:to>
    <xdr:pic>
      <xdr:nvPicPr>
        <xdr:cNvPr id="2" name="Picture 1">
          <a:extLst>
            <a:ext uri="{FF2B5EF4-FFF2-40B4-BE49-F238E27FC236}">
              <a16:creationId xmlns:a16="http://schemas.microsoft.com/office/drawing/2014/main" id="{7D704421-3D12-ECA3-DCF2-9470A6876441}"/>
            </a:ext>
          </a:extLst>
        </xdr:cNvPr>
        <xdr:cNvPicPr>
          <a:picLocks noChangeAspect="1"/>
        </xdr:cNvPicPr>
      </xdr:nvPicPr>
      <xdr:blipFill>
        <a:blip xmlns:r="http://schemas.openxmlformats.org/officeDocument/2006/relationships" r:embed="rId1"/>
        <a:stretch>
          <a:fillRect/>
        </a:stretch>
      </xdr:blipFill>
      <xdr:spPr>
        <a:xfrm>
          <a:off x="609600" y="1380067"/>
          <a:ext cx="2781541" cy="12269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114300</xdr:colOff>
      <xdr:row>5</xdr:row>
      <xdr:rowOff>114300</xdr:rowOff>
    </xdr:from>
    <xdr:to>
      <xdr:col>16</xdr:col>
      <xdr:colOff>426961</xdr:colOff>
      <xdr:row>9</xdr:row>
      <xdr:rowOff>205846</xdr:rowOff>
    </xdr:to>
    <xdr:pic>
      <xdr:nvPicPr>
        <xdr:cNvPr id="2" name="Picture 1">
          <a:extLst>
            <a:ext uri="{FF2B5EF4-FFF2-40B4-BE49-F238E27FC236}">
              <a16:creationId xmlns:a16="http://schemas.microsoft.com/office/drawing/2014/main" id="{44D741DC-48A7-6336-7249-A7EE186FC44E}"/>
            </a:ext>
          </a:extLst>
        </xdr:cNvPr>
        <xdr:cNvPicPr>
          <a:picLocks noChangeAspect="1"/>
        </xdr:cNvPicPr>
      </xdr:nvPicPr>
      <xdr:blipFill>
        <a:blip xmlns:r="http://schemas.openxmlformats.org/officeDocument/2006/relationships" r:embed="rId1"/>
        <a:stretch>
          <a:fillRect/>
        </a:stretch>
      </xdr:blipFill>
      <xdr:spPr>
        <a:xfrm>
          <a:off x="7551420" y="1051560"/>
          <a:ext cx="2781541" cy="122692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27940</xdr:colOff>
      <xdr:row>5</xdr:row>
      <xdr:rowOff>10194</xdr:rowOff>
    </xdr:from>
    <xdr:to>
      <xdr:col>14</xdr:col>
      <xdr:colOff>428062</xdr:colOff>
      <xdr:row>10</xdr:row>
      <xdr:rowOff>241299</xdr:rowOff>
    </xdr:to>
    <xdr:pic>
      <xdr:nvPicPr>
        <xdr:cNvPr id="2" name="Picture 1">
          <a:extLst>
            <a:ext uri="{FF2B5EF4-FFF2-40B4-BE49-F238E27FC236}">
              <a16:creationId xmlns:a16="http://schemas.microsoft.com/office/drawing/2014/main" id="{D50432AA-9924-4250-9DEE-10D66F897213}"/>
            </a:ext>
          </a:extLst>
        </xdr:cNvPr>
        <xdr:cNvPicPr>
          <a:picLocks noChangeAspect="1"/>
        </xdr:cNvPicPr>
      </xdr:nvPicPr>
      <xdr:blipFill>
        <a:blip xmlns:r="http://schemas.openxmlformats.org/officeDocument/2006/relationships" r:embed="rId1"/>
        <a:stretch>
          <a:fillRect/>
        </a:stretch>
      </xdr:blipFill>
      <xdr:spPr>
        <a:xfrm>
          <a:off x="5355590" y="1534194"/>
          <a:ext cx="4667322" cy="205990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167377</xdr:colOff>
      <xdr:row>2</xdr:row>
      <xdr:rowOff>106680</xdr:rowOff>
    </xdr:from>
    <xdr:to>
      <xdr:col>27</xdr:col>
      <xdr:colOff>296355</xdr:colOff>
      <xdr:row>31</xdr:row>
      <xdr:rowOff>129540</xdr:rowOff>
    </xdr:to>
    <xdr:pic>
      <xdr:nvPicPr>
        <xdr:cNvPr id="2" name="Picture 1" descr="A diagram of a company structure&#10;&#10;Description automatically generated with medium confidence">
          <a:extLst>
            <a:ext uri="{FF2B5EF4-FFF2-40B4-BE49-F238E27FC236}">
              <a16:creationId xmlns:a16="http://schemas.microsoft.com/office/drawing/2014/main" id="{4551A397-AE82-4D31-B385-BDCC8163CE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34577" y="495300"/>
          <a:ext cx="11574218" cy="92049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479386</xdr:colOff>
      <xdr:row>2</xdr:row>
      <xdr:rowOff>274320</xdr:rowOff>
    </xdr:from>
    <xdr:to>
      <xdr:col>29</xdr:col>
      <xdr:colOff>266699</xdr:colOff>
      <xdr:row>22</xdr:row>
      <xdr:rowOff>205494</xdr:rowOff>
    </xdr:to>
    <xdr:pic>
      <xdr:nvPicPr>
        <xdr:cNvPr id="2" name="Picture 1" descr="A diagram of a company structure&#10;&#10;Description automatically generated with medium confidence">
          <a:extLst>
            <a:ext uri="{FF2B5EF4-FFF2-40B4-BE49-F238E27FC236}">
              <a16:creationId xmlns:a16="http://schemas.microsoft.com/office/drawing/2014/main" id="{945C9C2B-FD20-6A69-252B-E6B2352A80E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98546" y="838200"/>
          <a:ext cx="10150513" cy="835889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Wang, Jeanny" id="{91424F51-061F-4245-BC9B-4B9268F5313D}" userId="S::jewa@ad.unc.edu::85363b81-d94c-4bee-8ebd-19f9ba1df17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4-12-19T22:51:58.40" personId="{91424F51-061F-4245-BC9B-4B9268F5313D}" id="{F0392EF2-BD6A-4CF6-85D1-71DF8E774435}">
    <text>dpp4i=0 and switcher=1</text>
  </threadedComment>
  <threadedComment ref="C13" dT="2024-12-19T22:51:38.89" personId="{91424F51-061F-4245-BC9B-4B9268F5313D}" id="{56CFFA68-6B5F-4A99-A573-EA746134FF8A}">
    <text>dpp4i=1 and switcher=1</text>
  </threadedComment>
  <threadedComment ref="C14" dT="2024-12-19T22:52:46.89" personId="{91424F51-061F-4245-BC9B-4B9268F5313D}" id="{45F9D0F7-C612-4F61-9ADF-4A7CBD15C086}">
    <text>Dpp4i=1 and switcher=0</text>
  </threadedComment>
  <threadedComment ref="G14" dT="2024-12-19T22:53:05.20" personId="{91424F51-061F-4245-BC9B-4B9268F5313D}" id="{6B5A309B-DEFD-4F60-B3EA-484AA4D0C887}">
    <text>Dpp4i=0 and switcher=0</text>
  </threadedComment>
</ThreadedComment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DC959-A8FE-459C-93A2-772AA49C090E}">
  <dimension ref="A1:G38"/>
  <sheetViews>
    <sheetView workbookViewId="0">
      <pane ySplit="1" topLeftCell="A2" activePane="bottomLeft" state="frozen"/>
      <selection pane="bottomLeft" activeCell="G16" sqref="G16"/>
    </sheetView>
  </sheetViews>
  <sheetFormatPr defaultRowHeight="14.4" x14ac:dyDescent="0.3"/>
  <cols>
    <col min="1" max="1" width="16.88671875" customWidth="1"/>
    <col min="2" max="2" width="16.109375" style="4" customWidth="1"/>
    <col min="3" max="3" width="4.6640625" style="7" customWidth="1"/>
    <col min="4" max="4" width="11.109375" bestFit="1" customWidth="1"/>
    <col min="5" max="5" width="5.6640625" bestFit="1" customWidth="1"/>
    <col min="6" max="6" width="46" customWidth="1"/>
    <col min="7" max="7" width="74.5546875" customWidth="1"/>
  </cols>
  <sheetData>
    <row r="1" spans="1:7" s="10" customFormat="1" x14ac:dyDescent="0.3">
      <c r="A1" s="10" t="s">
        <v>34</v>
      </c>
      <c r="B1" s="143" t="s">
        <v>275</v>
      </c>
      <c r="C1" s="144" t="s">
        <v>279</v>
      </c>
      <c r="D1" s="10" t="s">
        <v>276</v>
      </c>
      <c r="E1" s="10" t="s">
        <v>277</v>
      </c>
      <c r="F1" s="10" t="s">
        <v>284</v>
      </c>
      <c r="G1" s="10" t="s">
        <v>278</v>
      </c>
    </row>
    <row r="2" spans="1:7" x14ac:dyDescent="0.3">
      <c r="B2" s="4" t="s">
        <v>40</v>
      </c>
      <c r="C2" s="7">
        <v>0</v>
      </c>
      <c r="D2" t="s">
        <v>274</v>
      </c>
      <c r="E2">
        <v>1</v>
      </c>
      <c r="F2" t="s">
        <v>309</v>
      </c>
    </row>
    <row r="3" spans="1:7" x14ac:dyDescent="0.3">
      <c r="B3" s="4" t="s">
        <v>40</v>
      </c>
      <c r="C3" s="7">
        <v>0</v>
      </c>
      <c r="D3" t="s">
        <v>274</v>
      </c>
      <c r="E3">
        <v>2</v>
      </c>
      <c r="F3" t="s">
        <v>308</v>
      </c>
    </row>
    <row r="4" spans="1:7" x14ac:dyDescent="0.3">
      <c r="B4" s="4" t="s">
        <v>40</v>
      </c>
      <c r="C4" s="7">
        <v>0</v>
      </c>
      <c r="D4" t="s">
        <v>274</v>
      </c>
      <c r="E4">
        <v>3</v>
      </c>
      <c r="F4" t="s">
        <v>307</v>
      </c>
    </row>
    <row r="5" spans="1:7" x14ac:dyDescent="0.3">
      <c r="B5" s="4" t="s">
        <v>40</v>
      </c>
      <c r="C5" s="7">
        <v>0</v>
      </c>
      <c r="D5" t="s">
        <v>274</v>
      </c>
      <c r="E5">
        <v>4</v>
      </c>
      <c r="F5" s="147" t="s">
        <v>306</v>
      </c>
    </row>
    <row r="6" spans="1:7" s="98" customFormat="1" x14ac:dyDescent="0.3">
      <c r="B6" s="145"/>
      <c r="C6" s="146"/>
    </row>
    <row r="7" spans="1:7" x14ac:dyDescent="0.3">
      <c r="B7" s="4" t="s">
        <v>280</v>
      </c>
      <c r="C7" s="7">
        <v>0</v>
      </c>
      <c r="D7" t="s">
        <v>273</v>
      </c>
      <c r="E7">
        <v>1</v>
      </c>
      <c r="F7" t="s">
        <v>305</v>
      </c>
    </row>
    <row r="8" spans="1:7" x14ac:dyDescent="0.3">
      <c r="B8" s="4" t="s">
        <v>280</v>
      </c>
      <c r="C8" s="7">
        <v>0</v>
      </c>
      <c r="D8" t="s">
        <v>273</v>
      </c>
      <c r="E8">
        <v>2</v>
      </c>
      <c r="F8" t="s">
        <v>304</v>
      </c>
    </row>
    <row r="9" spans="1:7" x14ac:dyDescent="0.3">
      <c r="B9" s="4" t="s">
        <v>281</v>
      </c>
      <c r="C9" s="7">
        <v>0</v>
      </c>
      <c r="D9" t="s">
        <v>273</v>
      </c>
      <c r="E9">
        <v>3</v>
      </c>
      <c r="F9" t="s">
        <v>303</v>
      </c>
    </row>
    <row r="10" spans="1:7" x14ac:dyDescent="0.3">
      <c r="B10" s="4" t="s">
        <v>281</v>
      </c>
      <c r="C10" s="7">
        <v>0</v>
      </c>
      <c r="D10" t="s">
        <v>273</v>
      </c>
      <c r="E10">
        <v>4</v>
      </c>
      <c r="F10" t="s">
        <v>302</v>
      </c>
    </row>
    <row r="11" spans="1:7" x14ac:dyDescent="0.3">
      <c r="B11" s="4" t="s">
        <v>282</v>
      </c>
      <c r="C11" s="7">
        <v>0</v>
      </c>
      <c r="D11" t="s">
        <v>273</v>
      </c>
      <c r="E11">
        <v>5</v>
      </c>
      <c r="F11" t="s">
        <v>301</v>
      </c>
    </row>
    <row r="12" spans="1:7" s="98" customFormat="1" x14ac:dyDescent="0.3">
      <c r="B12" s="145"/>
      <c r="C12" s="146"/>
    </row>
    <row r="13" spans="1:7" x14ac:dyDescent="0.3">
      <c r="B13" s="4" t="s">
        <v>281</v>
      </c>
      <c r="C13" s="7">
        <v>0</v>
      </c>
      <c r="D13" t="s">
        <v>271</v>
      </c>
      <c r="E13">
        <v>1</v>
      </c>
      <c r="F13" t="s">
        <v>293</v>
      </c>
      <c r="G13" t="s">
        <v>255</v>
      </c>
    </row>
    <row r="14" spans="1:7" x14ac:dyDescent="0.3">
      <c r="B14" s="4" t="s">
        <v>281</v>
      </c>
      <c r="C14" s="7">
        <v>0</v>
      </c>
      <c r="D14" t="s">
        <v>271</v>
      </c>
      <c r="E14">
        <v>2</v>
      </c>
      <c r="F14" t="s">
        <v>294</v>
      </c>
      <c r="G14" t="s">
        <v>256</v>
      </c>
    </row>
    <row r="15" spans="1:7" x14ac:dyDescent="0.3">
      <c r="B15" s="4" t="s">
        <v>281</v>
      </c>
      <c r="C15" s="7">
        <v>0</v>
      </c>
      <c r="D15" t="s">
        <v>271</v>
      </c>
      <c r="E15">
        <v>3</v>
      </c>
      <c r="F15" t="s">
        <v>295</v>
      </c>
      <c r="G15" t="s">
        <v>257</v>
      </c>
    </row>
    <row r="16" spans="1:7" x14ac:dyDescent="0.3">
      <c r="B16" s="4" t="s">
        <v>281</v>
      </c>
      <c r="C16" s="7">
        <v>0</v>
      </c>
      <c r="D16" t="s">
        <v>271</v>
      </c>
      <c r="E16">
        <v>4</v>
      </c>
      <c r="F16" s="147" t="s">
        <v>291</v>
      </c>
      <c r="G16" t="s">
        <v>258</v>
      </c>
    </row>
    <row r="17" spans="1:7" x14ac:dyDescent="0.3">
      <c r="B17" s="4" t="s">
        <v>281</v>
      </c>
      <c r="C17" s="7">
        <v>0</v>
      </c>
      <c r="D17" t="s">
        <v>271</v>
      </c>
      <c r="E17">
        <v>5</v>
      </c>
      <c r="F17" t="s">
        <v>286</v>
      </c>
      <c r="G17" t="s">
        <v>259</v>
      </c>
    </row>
    <row r="18" spans="1:7" x14ac:dyDescent="0.3">
      <c r="A18" t="s">
        <v>2488</v>
      </c>
      <c r="B18" s="4" t="s">
        <v>283</v>
      </c>
      <c r="C18" s="7">
        <v>1</v>
      </c>
      <c r="D18" t="s">
        <v>271</v>
      </c>
      <c r="E18">
        <v>6</v>
      </c>
      <c r="F18" t="s">
        <v>290</v>
      </c>
      <c r="G18" t="s">
        <v>312</v>
      </c>
    </row>
    <row r="19" spans="1:7" x14ac:dyDescent="0.3">
      <c r="B19" s="4" t="s">
        <v>283</v>
      </c>
      <c r="D19" t="s">
        <v>271</v>
      </c>
      <c r="E19">
        <v>7</v>
      </c>
      <c r="F19" t="s">
        <v>289</v>
      </c>
      <c r="G19" t="s">
        <v>311</v>
      </c>
    </row>
    <row r="20" spans="1:7" x14ac:dyDescent="0.3">
      <c r="B20" s="4" t="s">
        <v>283</v>
      </c>
      <c r="D20" t="s">
        <v>271</v>
      </c>
      <c r="E20">
        <v>8</v>
      </c>
      <c r="F20" t="s">
        <v>289</v>
      </c>
      <c r="G20" t="s">
        <v>260</v>
      </c>
    </row>
    <row r="21" spans="1:7" x14ac:dyDescent="0.3">
      <c r="B21" s="4" t="s">
        <v>283</v>
      </c>
      <c r="D21" t="s">
        <v>271</v>
      </c>
      <c r="E21">
        <v>9</v>
      </c>
      <c r="F21" t="s">
        <v>310</v>
      </c>
      <c r="G21" t="s">
        <v>261</v>
      </c>
    </row>
    <row r="22" spans="1:7" x14ac:dyDescent="0.3">
      <c r="B22" s="4" t="s">
        <v>283</v>
      </c>
      <c r="D22" t="s">
        <v>271</v>
      </c>
      <c r="E22">
        <v>10</v>
      </c>
      <c r="F22" t="s">
        <v>310</v>
      </c>
      <c r="G22" t="s">
        <v>262</v>
      </c>
    </row>
    <row r="23" spans="1:7" x14ac:dyDescent="0.3">
      <c r="B23" s="4" t="s">
        <v>283</v>
      </c>
      <c r="D23" t="s">
        <v>271</v>
      </c>
      <c r="E23">
        <v>11</v>
      </c>
      <c r="F23" s="17" t="s">
        <v>287</v>
      </c>
      <c r="G23" t="s">
        <v>263</v>
      </c>
    </row>
    <row r="24" spans="1:7" x14ac:dyDescent="0.3">
      <c r="B24" s="4" t="s">
        <v>283</v>
      </c>
      <c r="D24" t="s">
        <v>271</v>
      </c>
      <c r="E24">
        <v>12</v>
      </c>
      <c r="F24" s="17" t="s">
        <v>287</v>
      </c>
      <c r="G24" t="s">
        <v>264</v>
      </c>
    </row>
    <row r="25" spans="1:7" x14ac:dyDescent="0.3">
      <c r="B25" s="4" t="s">
        <v>283</v>
      </c>
      <c r="D25" t="s">
        <v>271</v>
      </c>
      <c r="E25">
        <v>13</v>
      </c>
      <c r="F25" t="s">
        <v>313</v>
      </c>
      <c r="G25" t="s">
        <v>265</v>
      </c>
    </row>
    <row r="26" spans="1:7" x14ac:dyDescent="0.3">
      <c r="B26" s="4" t="s">
        <v>283</v>
      </c>
      <c r="D26" t="s">
        <v>271</v>
      </c>
      <c r="E26">
        <v>14</v>
      </c>
      <c r="F26" t="s">
        <v>313</v>
      </c>
      <c r="G26" t="s">
        <v>266</v>
      </c>
    </row>
    <row r="27" spans="1:7" x14ac:dyDescent="0.3">
      <c r="B27" s="4" t="s">
        <v>283</v>
      </c>
      <c r="D27" t="s">
        <v>271</v>
      </c>
      <c r="E27">
        <v>15</v>
      </c>
      <c r="F27" t="s">
        <v>292</v>
      </c>
      <c r="G27" t="s">
        <v>267</v>
      </c>
    </row>
    <row r="28" spans="1:7" x14ac:dyDescent="0.3">
      <c r="B28" s="4" t="s">
        <v>283</v>
      </c>
      <c r="D28" t="s">
        <v>271</v>
      </c>
      <c r="E28">
        <v>16</v>
      </c>
      <c r="F28" t="s">
        <v>292</v>
      </c>
      <c r="G28" t="s">
        <v>268</v>
      </c>
    </row>
    <row r="29" spans="1:7" x14ac:dyDescent="0.3">
      <c r="B29" s="4" t="s">
        <v>283</v>
      </c>
      <c r="D29" t="s">
        <v>271</v>
      </c>
      <c r="E29">
        <v>17</v>
      </c>
      <c r="F29" t="s">
        <v>285</v>
      </c>
      <c r="G29" t="s">
        <v>269</v>
      </c>
    </row>
    <row r="30" spans="1:7" x14ac:dyDescent="0.3">
      <c r="B30" s="4" t="s">
        <v>283</v>
      </c>
      <c r="D30" t="s">
        <v>271</v>
      </c>
      <c r="E30">
        <v>18</v>
      </c>
      <c r="F30" t="s">
        <v>285</v>
      </c>
      <c r="G30" t="s">
        <v>270</v>
      </c>
    </row>
    <row r="31" spans="1:7" x14ac:dyDescent="0.3">
      <c r="B31" s="4" t="s">
        <v>283</v>
      </c>
      <c r="D31" t="s">
        <v>271</v>
      </c>
      <c r="E31">
        <v>19</v>
      </c>
      <c r="F31" t="s">
        <v>288</v>
      </c>
      <c r="G31" t="s">
        <v>315</v>
      </c>
    </row>
    <row r="32" spans="1:7" x14ac:dyDescent="0.3">
      <c r="B32" s="4" t="s">
        <v>283</v>
      </c>
      <c r="D32" t="s">
        <v>271</v>
      </c>
      <c r="E32">
        <v>20</v>
      </c>
      <c r="F32" t="s">
        <v>288</v>
      </c>
      <c r="G32" t="s">
        <v>314</v>
      </c>
    </row>
    <row r="33" spans="1:7" s="98" customFormat="1" x14ac:dyDescent="0.3">
      <c r="B33" s="145"/>
      <c r="C33" s="146"/>
    </row>
    <row r="34" spans="1:7" x14ac:dyDescent="0.3">
      <c r="B34" s="4" t="s">
        <v>283</v>
      </c>
      <c r="D34" t="s">
        <v>272</v>
      </c>
      <c r="E34">
        <v>1</v>
      </c>
      <c r="F34" t="s">
        <v>296</v>
      </c>
    </row>
    <row r="35" spans="1:7" x14ac:dyDescent="0.3">
      <c r="A35" t="s">
        <v>1489</v>
      </c>
      <c r="B35" s="175" t="s">
        <v>281</v>
      </c>
      <c r="C35" s="176"/>
      <c r="D35" s="139" t="s">
        <v>272</v>
      </c>
      <c r="E35" s="139">
        <v>2</v>
      </c>
      <c r="F35" s="139" t="s">
        <v>297</v>
      </c>
    </row>
    <row r="36" spans="1:7" x14ac:dyDescent="0.3">
      <c r="A36" t="s">
        <v>1490</v>
      </c>
      <c r="B36" s="4" t="s">
        <v>281</v>
      </c>
      <c r="D36" t="s">
        <v>272</v>
      </c>
      <c r="E36">
        <v>3</v>
      </c>
      <c r="F36" t="s">
        <v>298</v>
      </c>
    </row>
    <row r="37" spans="1:7" x14ac:dyDescent="0.3">
      <c r="B37" s="4" t="s">
        <v>283</v>
      </c>
      <c r="D37" t="s">
        <v>272</v>
      </c>
      <c r="E37">
        <v>4</v>
      </c>
      <c r="F37" t="s">
        <v>299</v>
      </c>
      <c r="G37" t="s">
        <v>316</v>
      </c>
    </row>
    <row r="38" spans="1:7" x14ac:dyDescent="0.3">
      <c r="B38" s="4" t="s">
        <v>283</v>
      </c>
      <c r="D38" t="s">
        <v>272</v>
      </c>
      <c r="E38">
        <v>5</v>
      </c>
      <c r="F38" t="s">
        <v>300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F4956-BA34-4838-B2DB-B2FDD44117A4}">
  <dimension ref="A1:I16"/>
  <sheetViews>
    <sheetView workbookViewId="0">
      <selection activeCell="B17" sqref="B17"/>
    </sheetView>
  </sheetViews>
  <sheetFormatPr defaultRowHeight="14.4" x14ac:dyDescent="0.3"/>
  <cols>
    <col min="2" max="2" width="40.77734375" customWidth="1"/>
    <col min="3" max="6" width="15.33203125" customWidth="1"/>
    <col min="7" max="7" width="25.44140625" customWidth="1"/>
    <col min="8" max="9" width="15.33203125" customWidth="1"/>
  </cols>
  <sheetData>
    <row r="1" spans="1:9" ht="16.2" thickBot="1" x14ac:dyDescent="0.35">
      <c r="A1" s="212" t="s">
        <v>2507</v>
      </c>
    </row>
    <row r="2" spans="1:9" ht="16.2" thickBot="1" x14ac:dyDescent="0.35">
      <c r="A2" s="15"/>
      <c r="B2" s="205"/>
      <c r="C2" s="240" t="s">
        <v>2489</v>
      </c>
      <c r="D2" s="241"/>
      <c r="E2" s="242"/>
      <c r="F2" s="243" t="s">
        <v>2490</v>
      </c>
      <c r="G2" s="244"/>
      <c r="H2" s="245"/>
      <c r="I2" s="174"/>
    </row>
    <row r="3" spans="1:9" s="123" customFormat="1" ht="15" thickBot="1" x14ac:dyDescent="0.35">
      <c r="B3" s="213" t="s">
        <v>2491</v>
      </c>
      <c r="C3" s="214" t="s">
        <v>2492</v>
      </c>
      <c r="D3" s="214" t="s">
        <v>2493</v>
      </c>
      <c r="E3" s="214" t="s">
        <v>11</v>
      </c>
      <c r="F3" s="214" t="s">
        <v>2492</v>
      </c>
      <c r="G3" s="214" t="s">
        <v>2493</v>
      </c>
      <c r="H3" s="214" t="s">
        <v>11</v>
      </c>
      <c r="I3" s="215" t="s">
        <v>2494</v>
      </c>
    </row>
    <row r="4" spans="1:9" ht="40.200000000000003" thickBot="1" x14ac:dyDescent="0.35">
      <c r="B4" s="206" t="s">
        <v>14</v>
      </c>
      <c r="C4" s="207"/>
      <c r="D4" s="207"/>
      <c r="E4" s="207"/>
      <c r="F4" s="207"/>
      <c r="G4" s="207"/>
      <c r="H4" s="207"/>
      <c r="I4" s="163"/>
    </row>
    <row r="5" spans="1:9" ht="27" thickBot="1" x14ac:dyDescent="0.35">
      <c r="B5" s="208" t="s">
        <v>8</v>
      </c>
      <c r="C5" s="209">
        <v>0</v>
      </c>
      <c r="D5" s="209">
        <v>0</v>
      </c>
      <c r="E5" s="207"/>
      <c r="F5" s="209">
        <v>0</v>
      </c>
      <c r="G5" s="209">
        <v>0</v>
      </c>
      <c r="H5" s="207" t="s">
        <v>2513</v>
      </c>
      <c r="I5" s="163"/>
    </row>
    <row r="6" spans="1:9" ht="16.2" thickBot="1" x14ac:dyDescent="0.35">
      <c r="B6" s="208" t="s">
        <v>9</v>
      </c>
      <c r="C6" s="209">
        <v>0</v>
      </c>
      <c r="D6" s="209">
        <v>0</v>
      </c>
      <c r="E6" s="207"/>
      <c r="F6" s="209">
        <v>0</v>
      </c>
      <c r="G6" s="209">
        <v>0</v>
      </c>
      <c r="H6" s="207" t="s">
        <v>2514</v>
      </c>
      <c r="I6" s="163"/>
    </row>
    <row r="7" spans="1:9" ht="16.2" thickBot="1" x14ac:dyDescent="0.35">
      <c r="B7" s="206" t="s">
        <v>20</v>
      </c>
      <c r="C7" s="209">
        <v>131</v>
      </c>
      <c r="D7" s="210">
        <v>287967</v>
      </c>
      <c r="E7" s="207"/>
      <c r="F7" s="209">
        <v>34</v>
      </c>
      <c r="G7" s="210">
        <v>91389</v>
      </c>
      <c r="H7" s="207" t="s">
        <v>2515</v>
      </c>
      <c r="I7" s="163"/>
    </row>
    <row r="8" spans="1:9" ht="27" thickBot="1" x14ac:dyDescent="0.35">
      <c r="B8" s="206" t="s">
        <v>0</v>
      </c>
      <c r="C8" s="209">
        <v>131</v>
      </c>
      <c r="D8" s="210">
        <v>287967</v>
      </c>
      <c r="E8" s="209" t="s">
        <v>2495</v>
      </c>
      <c r="F8" s="209">
        <v>34</v>
      </c>
      <c r="G8" s="210">
        <v>91389</v>
      </c>
      <c r="H8" s="209" t="s">
        <v>2496</v>
      </c>
      <c r="I8" s="167" t="s">
        <v>2497</v>
      </c>
    </row>
    <row r="9" spans="1:9" s="216" customFormat="1" ht="16.2" thickBot="1" x14ac:dyDescent="0.35">
      <c r="B9" s="217" t="s">
        <v>2498</v>
      </c>
      <c r="C9" s="218"/>
      <c r="D9" s="218"/>
      <c r="E9" s="218"/>
      <c r="F9" s="218"/>
      <c r="G9" s="218"/>
      <c r="H9" s="218"/>
      <c r="I9" s="219"/>
    </row>
    <row r="10" spans="1:9" ht="27" thickBot="1" x14ac:dyDescent="0.35">
      <c r="B10" s="206" t="s">
        <v>7</v>
      </c>
      <c r="C10" s="207"/>
      <c r="D10" s="207"/>
      <c r="E10" s="207"/>
      <c r="F10" s="207"/>
      <c r="G10" s="207"/>
      <c r="H10" s="207"/>
      <c r="I10" s="163"/>
    </row>
    <row r="11" spans="1:9" ht="27" thickBot="1" x14ac:dyDescent="0.35">
      <c r="B11" s="208" t="s">
        <v>8</v>
      </c>
      <c r="C11" s="209">
        <v>0</v>
      </c>
      <c r="D11" s="209">
        <v>0</v>
      </c>
      <c r="E11" s="207"/>
      <c r="F11" s="209" t="s">
        <v>2499</v>
      </c>
      <c r="G11" s="209" t="s">
        <v>2500</v>
      </c>
      <c r="H11" s="207"/>
      <c r="I11" s="163"/>
    </row>
    <row r="12" spans="1:9" ht="16.2" thickBot="1" x14ac:dyDescent="0.35">
      <c r="B12" s="208" t="s">
        <v>9</v>
      </c>
      <c r="C12" s="211" t="s">
        <v>15</v>
      </c>
      <c r="D12" s="211" t="s">
        <v>19</v>
      </c>
      <c r="E12" s="207"/>
      <c r="F12" s="211" t="s">
        <v>18</v>
      </c>
      <c r="G12" s="211" t="s">
        <v>17</v>
      </c>
      <c r="H12" s="207"/>
      <c r="I12" s="163"/>
    </row>
    <row r="13" spans="1:9" ht="16.2" thickBot="1" x14ac:dyDescent="0.35">
      <c r="B13" s="206" t="s">
        <v>10</v>
      </c>
      <c r="C13" s="209">
        <v>131</v>
      </c>
      <c r="D13" s="210">
        <v>287967</v>
      </c>
      <c r="E13" s="207"/>
      <c r="F13" s="209" t="s">
        <v>26</v>
      </c>
      <c r="G13" s="209" t="s">
        <v>2501</v>
      </c>
      <c r="H13" s="207"/>
      <c r="I13" s="163"/>
    </row>
    <row r="14" spans="1:9" ht="27" thickBot="1" x14ac:dyDescent="0.35">
      <c r="B14" s="206" t="s">
        <v>0</v>
      </c>
      <c r="C14" s="209" t="s">
        <v>2502</v>
      </c>
      <c r="D14" s="167" t="s">
        <v>2503</v>
      </c>
      <c r="E14" s="209" t="s">
        <v>2504</v>
      </c>
      <c r="F14" s="209" t="s">
        <v>2508</v>
      </c>
      <c r="G14" s="167" t="s">
        <v>2511</v>
      </c>
      <c r="H14" s="209" t="s">
        <v>2505</v>
      </c>
      <c r="I14" s="167" t="s">
        <v>2506</v>
      </c>
    </row>
    <row r="15" spans="1:9" x14ac:dyDescent="0.3">
      <c r="F15" s="220" t="s">
        <v>2509</v>
      </c>
    </row>
    <row r="16" spans="1:9" x14ac:dyDescent="0.3">
      <c r="F16" s="220" t="s">
        <v>2510</v>
      </c>
      <c r="G16" t="s">
        <v>2512</v>
      </c>
    </row>
  </sheetData>
  <mergeCells count="2">
    <mergeCell ref="C2:E2"/>
    <mergeCell ref="F2:H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71886-7F36-4B3F-B1D8-E0DB0C834630}">
  <dimension ref="A1:G60"/>
  <sheetViews>
    <sheetView workbookViewId="0">
      <pane ySplit="1" topLeftCell="A2" activePane="bottomLeft" state="frozen"/>
      <selection pane="bottomLeft" activeCell="A9" sqref="A9"/>
    </sheetView>
  </sheetViews>
  <sheetFormatPr defaultRowHeight="14.4" x14ac:dyDescent="0.3"/>
  <cols>
    <col min="1" max="1" width="74.5546875" style="6" customWidth="1"/>
    <col min="2" max="2" width="26" customWidth="1"/>
    <col min="3" max="3" width="46.88671875" customWidth="1"/>
    <col min="4" max="4" width="76" customWidth="1"/>
    <col min="5" max="5" width="22" customWidth="1"/>
    <col min="6" max="6" width="81.33203125" customWidth="1"/>
  </cols>
  <sheetData>
    <row r="1" spans="1:6" s="138" customFormat="1" x14ac:dyDescent="0.3">
      <c r="A1" s="137" t="s">
        <v>247</v>
      </c>
      <c r="B1" s="138" t="s">
        <v>204</v>
      </c>
      <c r="C1" s="138" t="s">
        <v>206</v>
      </c>
      <c r="D1" s="138" t="s">
        <v>89</v>
      </c>
      <c r="E1" s="138" t="s">
        <v>88</v>
      </c>
      <c r="F1" s="138" t="s">
        <v>87</v>
      </c>
    </row>
    <row r="2" spans="1:6" s="126" customFormat="1" x14ac:dyDescent="0.3">
      <c r="A2" s="132"/>
      <c r="C2" s="127" t="s">
        <v>83</v>
      </c>
      <c r="D2" s="127" t="s">
        <v>187</v>
      </c>
    </row>
    <row r="3" spans="1:6" s="126" customFormat="1" x14ac:dyDescent="0.3">
      <c r="A3" s="173" t="s">
        <v>1307</v>
      </c>
      <c r="C3" s="127"/>
      <c r="D3" s="127"/>
    </row>
    <row r="4" spans="1:6" s="10" customFormat="1" x14ac:dyDescent="0.3">
      <c r="A4" s="133"/>
      <c r="C4" s="10" t="s">
        <v>254</v>
      </c>
      <c r="D4" s="10" t="s">
        <v>208</v>
      </c>
      <c r="E4" s="10" t="s">
        <v>83</v>
      </c>
      <c r="F4" s="10" t="s">
        <v>187</v>
      </c>
    </row>
    <row r="5" spans="1:6" s="10" customFormat="1" x14ac:dyDescent="0.3">
      <c r="A5" s="133"/>
      <c r="D5" s="10" t="s">
        <v>209</v>
      </c>
      <c r="E5"/>
      <c r="F5" t="s">
        <v>85</v>
      </c>
    </row>
    <row r="6" spans="1:6" s="10" customFormat="1" ht="28.8" x14ac:dyDescent="0.3">
      <c r="A6" s="133" t="s">
        <v>248</v>
      </c>
      <c r="C6" t="s">
        <v>228</v>
      </c>
      <c r="D6" t="s">
        <v>227</v>
      </c>
      <c r="E6" t="s">
        <v>234</v>
      </c>
      <c r="F6"/>
    </row>
    <row r="7" spans="1:6" s="10" customFormat="1" x14ac:dyDescent="0.3">
      <c r="A7" s="133" t="s">
        <v>253</v>
      </c>
      <c r="D7" t="s">
        <v>229</v>
      </c>
      <c r="E7"/>
      <c r="F7"/>
    </row>
    <row r="8" spans="1:6" s="10" customFormat="1" x14ac:dyDescent="0.3">
      <c r="A8" s="133" t="s">
        <v>250</v>
      </c>
      <c r="C8" s="10" t="s">
        <v>2516</v>
      </c>
      <c r="D8" t="s">
        <v>230</v>
      </c>
      <c r="E8"/>
      <c r="F8"/>
    </row>
    <row r="9" spans="1:6" s="10" customFormat="1" ht="28.8" x14ac:dyDescent="0.3">
      <c r="A9" s="221" t="s">
        <v>2517</v>
      </c>
      <c r="D9" t="s">
        <v>231</v>
      </c>
      <c r="E9"/>
      <c r="F9"/>
    </row>
    <row r="10" spans="1:6" s="10" customFormat="1" x14ac:dyDescent="0.3">
      <c r="D10" s="10" t="s">
        <v>233</v>
      </c>
      <c r="E10"/>
      <c r="F10"/>
    </row>
    <row r="11" spans="1:6" ht="28.8" x14ac:dyDescent="0.3">
      <c r="A11" s="133" t="s">
        <v>249</v>
      </c>
      <c r="B11" t="s">
        <v>93</v>
      </c>
      <c r="C11" t="s">
        <v>224</v>
      </c>
      <c r="D11" t="s">
        <v>193</v>
      </c>
      <c r="F11" t="s">
        <v>86</v>
      </c>
    </row>
    <row r="12" spans="1:6" ht="28.8" x14ac:dyDescent="0.3">
      <c r="A12" s="133" t="s">
        <v>251</v>
      </c>
      <c r="B12" t="s">
        <v>84</v>
      </c>
      <c r="D12" t="s">
        <v>188</v>
      </c>
    </row>
    <row r="13" spans="1:6" ht="28.8" x14ac:dyDescent="0.3">
      <c r="A13" s="133" t="s">
        <v>252</v>
      </c>
      <c r="B13" t="s">
        <v>85</v>
      </c>
      <c r="D13" t="s">
        <v>189</v>
      </c>
    </row>
    <row r="14" spans="1:6" ht="28.8" x14ac:dyDescent="0.3">
      <c r="B14" s="6" t="s">
        <v>86</v>
      </c>
      <c r="C14" t="s">
        <v>224</v>
      </c>
      <c r="D14" t="s">
        <v>195</v>
      </c>
    </row>
    <row r="15" spans="1:6" x14ac:dyDescent="0.3">
      <c r="B15" t="s">
        <v>91</v>
      </c>
      <c r="D15" t="s">
        <v>194</v>
      </c>
    </row>
    <row r="16" spans="1:6" x14ac:dyDescent="0.3">
      <c r="D16" s="148" t="s">
        <v>222</v>
      </c>
    </row>
    <row r="17" spans="1:7" x14ac:dyDescent="0.3">
      <c r="A17" s="6" t="s">
        <v>1515</v>
      </c>
      <c r="C17" s="10" t="s">
        <v>319</v>
      </c>
      <c r="D17" t="s">
        <v>223</v>
      </c>
    </row>
    <row r="18" spans="1:7" x14ac:dyDescent="0.3">
      <c r="A18" s="6" t="s">
        <v>2488</v>
      </c>
      <c r="C18" s="10" t="s">
        <v>318</v>
      </c>
      <c r="D18" t="s">
        <v>223</v>
      </c>
    </row>
    <row r="19" spans="1:7" x14ac:dyDescent="0.3">
      <c r="C19" s="10" t="s">
        <v>320</v>
      </c>
      <c r="D19" t="s">
        <v>207</v>
      </c>
      <c r="E19" s="123" t="s">
        <v>216</v>
      </c>
      <c r="F19" s="123" t="s">
        <v>212</v>
      </c>
    </row>
    <row r="20" spans="1:7" x14ac:dyDescent="0.3">
      <c r="C20" s="10" t="s">
        <v>321</v>
      </c>
      <c r="D20" t="s">
        <v>207</v>
      </c>
      <c r="E20" s="124" t="s">
        <v>213</v>
      </c>
      <c r="F20" s="124" t="s">
        <v>215</v>
      </c>
    </row>
    <row r="21" spans="1:7" x14ac:dyDescent="0.3">
      <c r="C21" t="s">
        <v>205</v>
      </c>
      <c r="E21" s="10" t="s">
        <v>83</v>
      </c>
      <c r="F21" s="10" t="s">
        <v>186</v>
      </c>
    </row>
    <row r="22" spans="1:7" s="126" customFormat="1" x14ac:dyDescent="0.3">
      <c r="A22" s="134"/>
      <c r="C22" s="127" t="s">
        <v>74</v>
      </c>
      <c r="D22" s="127" t="s">
        <v>75</v>
      </c>
    </row>
    <row r="23" spans="1:7" x14ac:dyDescent="0.3">
      <c r="B23" t="s">
        <v>91</v>
      </c>
      <c r="C23" t="s">
        <v>224</v>
      </c>
      <c r="D23" t="s">
        <v>197</v>
      </c>
      <c r="E23" s="10" t="s">
        <v>74</v>
      </c>
      <c r="F23" s="122" t="s">
        <v>75</v>
      </c>
      <c r="G23" t="s">
        <v>190</v>
      </c>
    </row>
    <row r="24" spans="1:7" ht="28.8" x14ac:dyDescent="0.3">
      <c r="A24" s="133" t="s">
        <v>252</v>
      </c>
      <c r="D24" t="s">
        <v>196</v>
      </c>
      <c r="F24" s="17"/>
    </row>
    <row r="25" spans="1:7" x14ac:dyDescent="0.3">
      <c r="D25" t="s">
        <v>198</v>
      </c>
    </row>
    <row r="26" spans="1:7" x14ac:dyDescent="0.3">
      <c r="D26" t="s">
        <v>207</v>
      </c>
      <c r="E26" s="125" t="s">
        <v>211</v>
      </c>
      <c r="F26" s="123" t="s">
        <v>219</v>
      </c>
    </row>
    <row r="27" spans="1:7" x14ac:dyDescent="0.3">
      <c r="D27" t="s">
        <v>207</v>
      </c>
      <c r="E27" s="123" t="s">
        <v>210</v>
      </c>
      <c r="F27" s="123" t="s">
        <v>221</v>
      </c>
    </row>
    <row r="28" spans="1:7" s="126" customFormat="1" x14ac:dyDescent="0.3">
      <c r="A28" s="134"/>
      <c r="C28" s="127" t="s">
        <v>74</v>
      </c>
      <c r="D28" s="127" t="s">
        <v>76</v>
      </c>
    </row>
    <row r="29" spans="1:7" s="136" customFormat="1" ht="28.8" x14ac:dyDescent="0.3">
      <c r="A29" s="135" t="s">
        <v>252</v>
      </c>
      <c r="B29" s="136" t="s">
        <v>91</v>
      </c>
      <c r="C29" s="136" t="s">
        <v>225</v>
      </c>
      <c r="D29" s="136" t="s">
        <v>199</v>
      </c>
      <c r="E29" s="136" t="s">
        <v>74</v>
      </c>
      <c r="F29" s="136" t="s">
        <v>76</v>
      </c>
    </row>
    <row r="30" spans="1:7" x14ac:dyDescent="0.3">
      <c r="D30" t="s">
        <v>200</v>
      </c>
    </row>
    <row r="31" spans="1:7" x14ac:dyDescent="0.3">
      <c r="D31" t="s">
        <v>201</v>
      </c>
    </row>
    <row r="32" spans="1:7" x14ac:dyDescent="0.3">
      <c r="D32" t="s">
        <v>202</v>
      </c>
    </row>
    <row r="33" spans="1:6" x14ac:dyDescent="0.3">
      <c r="D33" t="s">
        <v>203</v>
      </c>
    </row>
    <row r="34" spans="1:6" x14ac:dyDescent="0.3">
      <c r="C34" s="10" t="s">
        <v>317</v>
      </c>
      <c r="D34" t="s">
        <v>207</v>
      </c>
      <c r="E34" s="123" t="s">
        <v>218</v>
      </c>
      <c r="F34" s="123" t="s">
        <v>220</v>
      </c>
    </row>
    <row r="35" spans="1:6" x14ac:dyDescent="0.3">
      <c r="D35" t="s">
        <v>207</v>
      </c>
      <c r="E35" s="124" t="s">
        <v>214</v>
      </c>
      <c r="F35" s="124" t="s">
        <v>217</v>
      </c>
    </row>
    <row r="36" spans="1:6" s="126" customFormat="1" x14ac:dyDescent="0.3">
      <c r="A36" s="134"/>
      <c r="C36" s="127" t="s">
        <v>74</v>
      </c>
      <c r="D36" s="127" t="s">
        <v>77</v>
      </c>
    </row>
    <row r="37" spans="1:6" x14ac:dyDescent="0.3">
      <c r="B37" s="10" t="s">
        <v>92</v>
      </c>
      <c r="C37" t="s">
        <v>226</v>
      </c>
      <c r="E37" s="10"/>
      <c r="F37" s="10"/>
    </row>
    <row r="38" spans="1:6" ht="28.8" x14ac:dyDescent="0.3">
      <c r="A38" s="133" t="s">
        <v>252</v>
      </c>
      <c r="E38" s="10"/>
      <c r="F38" s="10"/>
    </row>
    <row r="39" spans="1:6" x14ac:dyDescent="0.3">
      <c r="E39" s="10"/>
      <c r="F39" s="10"/>
    </row>
    <row r="40" spans="1:6" x14ac:dyDescent="0.3">
      <c r="E40" s="10"/>
      <c r="F40" s="10"/>
    </row>
    <row r="41" spans="1:6" s="126" customFormat="1" x14ac:dyDescent="0.3">
      <c r="A41" s="134"/>
      <c r="C41" s="127" t="s">
        <v>74</v>
      </c>
      <c r="D41" s="127" t="s">
        <v>78</v>
      </c>
    </row>
    <row r="42" spans="1:6" x14ac:dyDescent="0.3">
      <c r="B42" t="s">
        <v>91</v>
      </c>
      <c r="C42" t="s">
        <v>232</v>
      </c>
      <c r="E42" t="s">
        <v>74</v>
      </c>
      <c r="F42" t="s">
        <v>78</v>
      </c>
    </row>
    <row r="43" spans="1:6" ht="28.8" x14ac:dyDescent="0.3">
      <c r="A43" s="133" t="s">
        <v>252</v>
      </c>
    </row>
    <row r="44" spans="1:6" x14ac:dyDescent="0.3">
      <c r="E44" s="10"/>
      <c r="F44" s="10"/>
    </row>
    <row r="45" spans="1:6" x14ac:dyDescent="0.3">
      <c r="E45" s="10"/>
      <c r="F45" s="10"/>
    </row>
    <row r="46" spans="1:6" s="126" customFormat="1" x14ac:dyDescent="0.3">
      <c r="A46" s="134"/>
      <c r="C46" s="127" t="s">
        <v>74</v>
      </c>
      <c r="D46" s="127" t="s">
        <v>79</v>
      </c>
    </row>
    <row r="47" spans="1:6" x14ac:dyDescent="0.3">
      <c r="B47" t="s">
        <v>90</v>
      </c>
      <c r="E47" t="s">
        <v>74</v>
      </c>
      <c r="F47" t="s">
        <v>79</v>
      </c>
    </row>
    <row r="48" spans="1:6" ht="28.8" x14ac:dyDescent="0.3">
      <c r="A48" s="133" t="s">
        <v>252</v>
      </c>
      <c r="E48" s="10"/>
      <c r="F48" s="10"/>
    </row>
    <row r="49" spans="1:6" x14ac:dyDescent="0.3">
      <c r="E49" s="10"/>
      <c r="F49" s="10"/>
    </row>
    <row r="50" spans="1:6" s="126" customFormat="1" x14ac:dyDescent="0.3">
      <c r="A50" s="134"/>
      <c r="C50" s="127" t="s">
        <v>74</v>
      </c>
      <c r="D50" s="127" t="s">
        <v>80</v>
      </c>
    </row>
    <row r="51" spans="1:6" x14ac:dyDescent="0.3">
      <c r="B51" t="s">
        <v>91</v>
      </c>
      <c r="E51" t="s">
        <v>74</v>
      </c>
      <c r="F51" t="s">
        <v>80</v>
      </c>
    </row>
    <row r="52" spans="1:6" ht="28.8" x14ac:dyDescent="0.3">
      <c r="A52" s="133" t="s">
        <v>252</v>
      </c>
    </row>
    <row r="54" spans="1:6" s="126" customFormat="1" x14ac:dyDescent="0.3">
      <c r="A54" s="134"/>
      <c r="C54" s="127" t="s">
        <v>74</v>
      </c>
      <c r="D54" s="127" t="s">
        <v>81</v>
      </c>
    </row>
    <row r="55" spans="1:6" x14ac:dyDescent="0.3">
      <c r="B55" t="s">
        <v>90</v>
      </c>
      <c r="E55" t="s">
        <v>74</v>
      </c>
      <c r="F55" t="s">
        <v>81</v>
      </c>
    </row>
    <row r="56" spans="1:6" ht="28.8" x14ac:dyDescent="0.3">
      <c r="A56" s="133" t="s">
        <v>252</v>
      </c>
    </row>
    <row r="58" spans="1:6" s="126" customFormat="1" x14ac:dyDescent="0.3">
      <c r="A58" s="134"/>
      <c r="C58" s="127" t="s">
        <v>74</v>
      </c>
      <c r="D58" s="127" t="s">
        <v>82</v>
      </c>
    </row>
    <row r="59" spans="1:6" x14ac:dyDescent="0.3">
      <c r="B59" t="s">
        <v>90</v>
      </c>
      <c r="D59" t="s">
        <v>246</v>
      </c>
      <c r="E59" t="s">
        <v>74</v>
      </c>
      <c r="F59" t="s">
        <v>82</v>
      </c>
    </row>
    <row r="60" spans="1:6" ht="28.8" x14ac:dyDescent="0.3">
      <c r="A60" s="133" t="s">
        <v>252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28E0A-CB57-4C06-90C5-56B05BE708D0}">
  <dimension ref="A1:N83"/>
  <sheetViews>
    <sheetView topLeftCell="A60" workbookViewId="0">
      <selection activeCell="A73" sqref="A73:A75"/>
    </sheetView>
  </sheetViews>
  <sheetFormatPr defaultRowHeight="14.4" x14ac:dyDescent="0.3"/>
  <cols>
    <col min="1" max="1" width="33.6640625" customWidth="1"/>
    <col min="2" max="2" width="40" bestFit="1" customWidth="1"/>
    <col min="3" max="3" width="43.44140625" customWidth="1"/>
    <col min="4" max="4" width="13.33203125" style="22" bestFit="1" customWidth="1"/>
    <col min="5" max="5" width="11.5546875" style="22" bestFit="1" customWidth="1"/>
    <col min="6" max="6" width="12.88671875" style="22" bestFit="1" customWidth="1"/>
    <col min="8" max="8" width="11.5546875" bestFit="1" customWidth="1"/>
    <col min="9" max="9" width="10.6640625" bestFit="1" customWidth="1"/>
    <col min="10" max="10" width="11.6640625" bestFit="1" customWidth="1"/>
    <col min="13" max="13" width="12.88671875" bestFit="1" customWidth="1"/>
  </cols>
  <sheetData>
    <row r="1" spans="1:6" s="10" customFormat="1" ht="15" thickBot="1" x14ac:dyDescent="0.35">
      <c r="A1" s="10" t="s">
        <v>94</v>
      </c>
      <c r="B1" s="10" t="s">
        <v>95</v>
      </c>
      <c r="C1" s="10" t="s">
        <v>96</v>
      </c>
      <c r="D1" s="18"/>
      <c r="E1" s="18"/>
      <c r="F1" s="18"/>
    </row>
    <row r="2" spans="1:6" x14ac:dyDescent="0.3">
      <c r="A2" t="s">
        <v>97</v>
      </c>
      <c r="B2" s="19" t="s">
        <v>98</v>
      </c>
      <c r="C2" s="20" t="s">
        <v>99</v>
      </c>
      <c r="D2" s="21">
        <v>1888190</v>
      </c>
    </row>
    <row r="3" spans="1:6" x14ac:dyDescent="0.3">
      <c r="B3" s="23"/>
      <c r="C3" s="24" t="s">
        <v>100</v>
      </c>
      <c r="D3" s="25">
        <v>863220</v>
      </c>
    </row>
    <row r="4" spans="1:6" x14ac:dyDescent="0.3">
      <c r="B4" s="23"/>
      <c r="C4" s="24" t="s">
        <v>101</v>
      </c>
      <c r="D4" s="25">
        <v>2536127</v>
      </c>
    </row>
    <row r="5" spans="1:6" ht="15" thickBot="1" x14ac:dyDescent="0.35">
      <c r="B5" s="26"/>
      <c r="C5" s="27" t="s">
        <v>102</v>
      </c>
      <c r="D5" s="28">
        <v>647898</v>
      </c>
    </row>
    <row r="6" spans="1:6" x14ac:dyDescent="0.3">
      <c r="B6" s="29" t="s">
        <v>103</v>
      </c>
      <c r="C6" s="30" t="s">
        <v>104</v>
      </c>
      <c r="D6" s="31">
        <v>6577555</v>
      </c>
    </row>
    <row r="7" spans="1:6" x14ac:dyDescent="0.3">
      <c r="B7" s="23"/>
      <c r="C7" s="32" t="s">
        <v>105</v>
      </c>
      <c r="D7" s="33">
        <v>2561015</v>
      </c>
    </row>
    <row r="8" spans="1:6" x14ac:dyDescent="0.3">
      <c r="B8" s="23"/>
      <c r="C8" s="32" t="s">
        <v>106</v>
      </c>
      <c r="D8" s="33">
        <v>7008694</v>
      </c>
    </row>
    <row r="9" spans="1:6" ht="15" thickBot="1" x14ac:dyDescent="0.35">
      <c r="B9" s="26"/>
      <c r="C9" s="34" t="s">
        <v>107</v>
      </c>
      <c r="D9" s="35">
        <v>2652065</v>
      </c>
    </row>
    <row r="11" spans="1:6" ht="15" thickBot="1" x14ac:dyDescent="0.35"/>
    <row r="12" spans="1:6" x14ac:dyDescent="0.3">
      <c r="A12" t="s">
        <v>108</v>
      </c>
      <c r="B12" s="19" t="s">
        <v>99</v>
      </c>
      <c r="C12" s="36" t="s">
        <v>109</v>
      </c>
      <c r="D12" s="31">
        <v>105399</v>
      </c>
    </row>
    <row r="13" spans="1:6" x14ac:dyDescent="0.3">
      <c r="B13" s="23" t="s">
        <v>104</v>
      </c>
      <c r="C13" s="32" t="s">
        <v>110</v>
      </c>
      <c r="D13" s="33">
        <v>130325</v>
      </c>
    </row>
    <row r="14" spans="1:6" ht="15" thickBot="1" x14ac:dyDescent="0.35">
      <c r="B14" s="37"/>
      <c r="C14" s="38" t="s">
        <v>111</v>
      </c>
      <c r="D14" s="39">
        <v>105399</v>
      </c>
    </row>
    <row r="15" spans="1:6" x14ac:dyDescent="0.3">
      <c r="B15" s="19" t="s">
        <v>101</v>
      </c>
      <c r="C15" s="36" t="s">
        <v>112</v>
      </c>
      <c r="D15" s="31">
        <v>129082</v>
      </c>
    </row>
    <row r="16" spans="1:6" x14ac:dyDescent="0.3">
      <c r="B16" s="23" t="s">
        <v>106</v>
      </c>
      <c r="C16" s="32" t="s">
        <v>113</v>
      </c>
      <c r="D16" s="33">
        <v>177679</v>
      </c>
    </row>
    <row r="17" spans="1:14" ht="15" thickBot="1" x14ac:dyDescent="0.35">
      <c r="B17" s="37"/>
      <c r="C17" s="38" t="s">
        <v>114</v>
      </c>
      <c r="D17" s="39">
        <v>129082</v>
      </c>
    </row>
    <row r="18" spans="1:14" x14ac:dyDescent="0.3">
      <c r="A18" t="s">
        <v>2488</v>
      </c>
      <c r="B18" s="19" t="s">
        <v>100</v>
      </c>
      <c r="C18" s="36" t="s">
        <v>115</v>
      </c>
      <c r="D18" s="31">
        <v>32289</v>
      </c>
    </row>
    <row r="19" spans="1:14" x14ac:dyDescent="0.3">
      <c r="B19" s="23" t="s">
        <v>105</v>
      </c>
      <c r="C19" s="32" t="s">
        <v>116</v>
      </c>
      <c r="D19" s="33">
        <v>39531</v>
      </c>
    </row>
    <row r="20" spans="1:14" ht="15" thickBot="1" x14ac:dyDescent="0.35">
      <c r="B20" s="37"/>
      <c r="C20" s="38" t="s">
        <v>117</v>
      </c>
      <c r="D20" s="39">
        <v>32289</v>
      </c>
    </row>
    <row r="21" spans="1:14" x14ac:dyDescent="0.3">
      <c r="B21" s="19" t="s">
        <v>102</v>
      </c>
      <c r="C21" s="36" t="s">
        <v>118</v>
      </c>
      <c r="D21" s="31">
        <v>69059</v>
      </c>
    </row>
    <row r="22" spans="1:14" x14ac:dyDescent="0.3">
      <c r="B22" s="23" t="s">
        <v>107</v>
      </c>
      <c r="C22" s="32" t="s">
        <v>119</v>
      </c>
      <c r="D22" s="33">
        <v>81691</v>
      </c>
    </row>
    <row r="23" spans="1:14" ht="15" thickBot="1" x14ac:dyDescent="0.35">
      <c r="B23" s="26"/>
      <c r="C23" s="34" t="s">
        <v>120</v>
      </c>
      <c r="D23" s="35">
        <v>69059</v>
      </c>
    </row>
    <row r="25" spans="1:14" ht="15" thickBot="1" x14ac:dyDescent="0.35">
      <c r="E25" s="22" t="s">
        <v>121</v>
      </c>
      <c r="F25" s="22" t="s">
        <v>122</v>
      </c>
    </row>
    <row r="26" spans="1:14" x14ac:dyDescent="0.3">
      <c r="A26" t="s">
        <v>123</v>
      </c>
      <c r="B26" s="19" t="s">
        <v>110</v>
      </c>
      <c r="C26" s="20" t="s">
        <v>124</v>
      </c>
      <c r="D26" s="40">
        <v>252040</v>
      </c>
      <c r="E26" s="41">
        <v>112961</v>
      </c>
      <c r="F26" s="42">
        <v>139079</v>
      </c>
      <c r="H26" s="18"/>
    </row>
    <row r="27" spans="1:14" x14ac:dyDescent="0.3">
      <c r="A27" s="265" t="s">
        <v>125</v>
      </c>
      <c r="B27" s="23" t="s">
        <v>113</v>
      </c>
      <c r="C27" s="24" t="s">
        <v>126</v>
      </c>
      <c r="D27" s="43">
        <v>146490</v>
      </c>
      <c r="E27" s="44">
        <v>112961</v>
      </c>
      <c r="F27" s="45">
        <v>33529</v>
      </c>
    </row>
    <row r="28" spans="1:14" x14ac:dyDescent="0.3">
      <c r="A28" s="265"/>
      <c r="B28" s="23" t="s">
        <v>116</v>
      </c>
      <c r="C28" s="24" t="s">
        <v>127</v>
      </c>
      <c r="D28" s="43">
        <v>185456</v>
      </c>
      <c r="E28" s="44">
        <v>112961</v>
      </c>
      <c r="F28" s="45">
        <v>72495</v>
      </c>
    </row>
    <row r="29" spans="1:14" ht="15" thickBot="1" x14ac:dyDescent="0.35">
      <c r="A29" s="265"/>
      <c r="B29" s="26" t="s">
        <v>119</v>
      </c>
      <c r="C29" s="27"/>
      <c r="D29" s="46"/>
      <c r="E29" s="47"/>
      <c r="F29" s="48"/>
    </row>
    <row r="30" spans="1:14" x14ac:dyDescent="0.3">
      <c r="H30" s="49" t="s">
        <v>128</v>
      </c>
      <c r="L30" t="s">
        <v>129</v>
      </c>
    </row>
    <row r="31" spans="1:14" ht="15" thickBot="1" x14ac:dyDescent="0.35">
      <c r="E31" s="22" t="s">
        <v>121</v>
      </c>
      <c r="F31" s="22" t="s">
        <v>122</v>
      </c>
      <c r="I31" s="22" t="s">
        <v>121</v>
      </c>
      <c r="J31" s="22" t="s">
        <v>122</v>
      </c>
      <c r="M31" s="22" t="s">
        <v>121</v>
      </c>
      <c r="N31" s="22" t="s">
        <v>122</v>
      </c>
    </row>
    <row r="32" spans="1:14" x14ac:dyDescent="0.3">
      <c r="A32" t="s">
        <v>130</v>
      </c>
      <c r="B32" s="19" t="s">
        <v>131</v>
      </c>
      <c r="C32" s="36" t="s">
        <v>132</v>
      </c>
      <c r="D32" s="50">
        <v>234299</v>
      </c>
      <c r="E32" s="51">
        <v>105326</v>
      </c>
      <c r="F32" s="52">
        <v>128973</v>
      </c>
      <c r="H32" s="50">
        <v>160116</v>
      </c>
      <c r="I32" s="51">
        <v>46727</v>
      </c>
      <c r="J32" s="52">
        <v>113389</v>
      </c>
      <c r="L32" s="19">
        <f>ROUND(H32/D32,2)</f>
        <v>0.68</v>
      </c>
      <c r="M32" s="53">
        <f>ROUND(I32/E32,2)</f>
        <v>0.44</v>
      </c>
      <c r="N32" s="20">
        <f>ROUND(J32/F32,2)</f>
        <v>0.88</v>
      </c>
    </row>
    <row r="33" spans="1:14" x14ac:dyDescent="0.3">
      <c r="A33" s="265" t="s">
        <v>133</v>
      </c>
      <c r="B33" s="23" t="s">
        <v>134</v>
      </c>
      <c r="C33" s="32" t="s">
        <v>135</v>
      </c>
      <c r="D33" s="54">
        <v>137594</v>
      </c>
      <c r="E33" s="55">
        <v>105326</v>
      </c>
      <c r="F33" s="56">
        <v>322268</v>
      </c>
      <c r="H33" s="57">
        <v>109419</v>
      </c>
      <c r="I33" s="55">
        <v>84569</v>
      </c>
      <c r="J33" s="56">
        <v>27850</v>
      </c>
      <c r="L33" s="23">
        <f t="shared" ref="L33:N37" si="0">ROUND(H33/D33,2)</f>
        <v>0.8</v>
      </c>
      <c r="M33" s="58">
        <f t="shared" si="0"/>
        <v>0.8</v>
      </c>
      <c r="N33" s="24">
        <f t="shared" si="0"/>
        <v>0.09</v>
      </c>
    </row>
    <row r="34" spans="1:14" ht="15" thickBot="1" x14ac:dyDescent="0.35">
      <c r="A34" s="265"/>
      <c r="B34" s="37" t="s">
        <v>136</v>
      </c>
      <c r="C34" s="38" t="s">
        <v>137</v>
      </c>
      <c r="D34" s="59">
        <v>174340</v>
      </c>
      <c r="E34" s="60">
        <v>105326</v>
      </c>
      <c r="F34" s="61">
        <v>69014</v>
      </c>
      <c r="H34" s="62">
        <v>140143</v>
      </c>
      <c r="I34" s="60">
        <v>98891</v>
      </c>
      <c r="J34" s="61">
        <v>41252</v>
      </c>
      <c r="L34" s="37">
        <f t="shared" si="0"/>
        <v>0.8</v>
      </c>
      <c r="M34" s="63">
        <f t="shared" si="0"/>
        <v>0.94</v>
      </c>
      <c r="N34" s="64">
        <f t="shared" si="0"/>
        <v>0.6</v>
      </c>
    </row>
    <row r="35" spans="1:14" x14ac:dyDescent="0.3">
      <c r="A35" s="265"/>
      <c r="B35" s="19" t="s">
        <v>131</v>
      </c>
      <c r="C35" s="36" t="s">
        <v>138</v>
      </c>
      <c r="D35" s="65">
        <v>234299</v>
      </c>
      <c r="E35" s="66">
        <v>105326</v>
      </c>
      <c r="F35" s="67">
        <v>128973</v>
      </c>
      <c r="H35" s="65">
        <v>171543</v>
      </c>
      <c r="I35" s="68">
        <v>56481</v>
      </c>
      <c r="J35" s="67">
        <v>115062</v>
      </c>
      <c r="L35" s="19">
        <f t="shared" si="0"/>
        <v>0.73</v>
      </c>
      <c r="M35" s="53">
        <f t="shared" si="0"/>
        <v>0.54</v>
      </c>
      <c r="N35" s="20">
        <f t="shared" si="0"/>
        <v>0.89</v>
      </c>
    </row>
    <row r="36" spans="1:14" x14ac:dyDescent="0.3">
      <c r="A36" s="265"/>
      <c r="B36" s="23" t="s">
        <v>134</v>
      </c>
      <c r="C36" s="32" t="s">
        <v>139</v>
      </c>
      <c r="D36" s="69">
        <v>137594</v>
      </c>
      <c r="E36" s="70">
        <v>105326</v>
      </c>
      <c r="F36" s="71">
        <v>32268</v>
      </c>
      <c r="H36" s="69">
        <v>119756</v>
      </c>
      <c r="I36" s="72">
        <v>91296</v>
      </c>
      <c r="J36" s="71">
        <v>28460</v>
      </c>
      <c r="L36" s="23">
        <f t="shared" si="0"/>
        <v>0.87</v>
      </c>
      <c r="M36" s="58">
        <f t="shared" si="0"/>
        <v>0.87</v>
      </c>
      <c r="N36" s="24">
        <f t="shared" si="0"/>
        <v>0.88</v>
      </c>
    </row>
    <row r="37" spans="1:14" ht="15" thickBot="1" x14ac:dyDescent="0.35">
      <c r="A37" s="265"/>
      <c r="B37" s="26" t="s">
        <v>136</v>
      </c>
      <c r="C37" s="34" t="s">
        <v>140</v>
      </c>
      <c r="D37" s="73">
        <v>174340</v>
      </c>
      <c r="E37" s="74">
        <v>105326</v>
      </c>
      <c r="F37" s="75">
        <v>69014</v>
      </c>
      <c r="H37" s="73">
        <v>147100</v>
      </c>
      <c r="I37" s="76">
        <v>99527</v>
      </c>
      <c r="J37" s="75">
        <v>47573</v>
      </c>
      <c r="L37" s="26">
        <f t="shared" si="0"/>
        <v>0.84</v>
      </c>
      <c r="M37" s="77">
        <f t="shared" si="0"/>
        <v>0.94</v>
      </c>
      <c r="N37" s="27">
        <f t="shared" si="0"/>
        <v>0.69</v>
      </c>
    </row>
    <row r="39" spans="1:14" ht="15" thickBot="1" x14ac:dyDescent="0.35">
      <c r="E39" s="22" t="s">
        <v>121</v>
      </c>
      <c r="F39" s="22" t="s">
        <v>122</v>
      </c>
      <c r="L39" t="s">
        <v>141</v>
      </c>
    </row>
    <row r="40" spans="1:14" x14ac:dyDescent="0.3">
      <c r="A40" t="s">
        <v>142</v>
      </c>
      <c r="B40" s="19" t="s">
        <v>132</v>
      </c>
      <c r="C40" s="36" t="s">
        <v>143</v>
      </c>
      <c r="D40" s="78">
        <v>133082</v>
      </c>
      <c r="E40" s="79">
        <v>39886</v>
      </c>
      <c r="F40" s="80">
        <v>93196</v>
      </c>
      <c r="G40" s="246" t="s">
        <v>144</v>
      </c>
      <c r="H40" s="247"/>
      <c r="I40" s="247"/>
      <c r="J40" s="248"/>
      <c r="L40" s="19">
        <f>ROUND(D40/H32,2)</f>
        <v>0.83</v>
      </c>
      <c r="M40" s="53">
        <f t="shared" ref="M40:N45" si="1">ROUND(E40/I32,2)</f>
        <v>0.85</v>
      </c>
      <c r="N40" s="20">
        <f t="shared" si="1"/>
        <v>0.82</v>
      </c>
    </row>
    <row r="41" spans="1:14" x14ac:dyDescent="0.3">
      <c r="A41" s="266" t="s">
        <v>145</v>
      </c>
      <c r="B41" s="23" t="s">
        <v>135</v>
      </c>
      <c r="C41" s="32" t="s">
        <v>146</v>
      </c>
      <c r="D41" s="81">
        <v>89602</v>
      </c>
      <c r="E41" s="82">
        <v>66389</v>
      </c>
      <c r="F41" s="83">
        <v>23213</v>
      </c>
      <c r="G41" s="249"/>
      <c r="H41" s="250"/>
      <c r="I41" s="250"/>
      <c r="J41" s="251"/>
      <c r="L41" s="23">
        <f t="shared" ref="L41:L45" si="2">ROUND(D41/H33,2)</f>
        <v>0.82</v>
      </c>
      <c r="M41" s="58">
        <f t="shared" si="1"/>
        <v>0.79</v>
      </c>
      <c r="N41" s="24">
        <f t="shared" si="1"/>
        <v>0.83</v>
      </c>
    </row>
    <row r="42" spans="1:14" ht="15" thickBot="1" x14ac:dyDescent="0.35">
      <c r="A42" s="266"/>
      <c r="B42" s="37" t="s">
        <v>137</v>
      </c>
      <c r="C42" s="38" t="s">
        <v>147</v>
      </c>
      <c r="D42" s="84">
        <v>93785</v>
      </c>
      <c r="E42" s="85">
        <v>59728</v>
      </c>
      <c r="F42" s="86">
        <v>34057</v>
      </c>
      <c r="G42" s="252"/>
      <c r="H42" s="253"/>
      <c r="I42" s="253"/>
      <c r="J42" s="254"/>
      <c r="L42" s="37">
        <f t="shared" si="2"/>
        <v>0.67</v>
      </c>
      <c r="M42" s="63">
        <f t="shared" si="1"/>
        <v>0.6</v>
      </c>
      <c r="N42" s="64">
        <f t="shared" si="1"/>
        <v>0.83</v>
      </c>
    </row>
    <row r="43" spans="1:14" x14ac:dyDescent="0.3">
      <c r="A43" s="266"/>
      <c r="B43" s="19" t="s">
        <v>138</v>
      </c>
      <c r="C43" s="36" t="s">
        <v>148</v>
      </c>
      <c r="D43" s="50">
        <v>142429</v>
      </c>
      <c r="E43" s="87">
        <v>47892</v>
      </c>
      <c r="F43" s="88">
        <v>94537</v>
      </c>
      <c r="G43" s="267" t="s">
        <v>149</v>
      </c>
      <c r="H43" s="268"/>
      <c r="I43" s="268"/>
      <c r="J43" s="269"/>
      <c r="L43" s="19">
        <f t="shared" si="2"/>
        <v>0.83</v>
      </c>
      <c r="M43" s="53">
        <f t="shared" si="1"/>
        <v>0.85</v>
      </c>
      <c r="N43" s="20">
        <f t="shared" si="1"/>
        <v>0.82</v>
      </c>
    </row>
    <row r="44" spans="1:14" x14ac:dyDescent="0.3">
      <c r="A44" s="266"/>
      <c r="B44" s="23" t="s">
        <v>139</v>
      </c>
      <c r="C44" s="32" t="s">
        <v>150</v>
      </c>
      <c r="D44" s="54">
        <v>97725</v>
      </c>
      <c r="E44" s="89">
        <v>74029</v>
      </c>
      <c r="F44" s="71">
        <v>23696</v>
      </c>
      <c r="G44" s="270"/>
      <c r="H44" s="271"/>
      <c r="I44" s="271"/>
      <c r="J44" s="272"/>
      <c r="L44" s="23">
        <f t="shared" si="2"/>
        <v>0.82</v>
      </c>
      <c r="M44" s="58">
        <f t="shared" si="1"/>
        <v>0.81</v>
      </c>
      <c r="N44" s="24">
        <f t="shared" si="1"/>
        <v>0.83</v>
      </c>
    </row>
    <row r="45" spans="1:14" ht="15" thickBot="1" x14ac:dyDescent="0.35">
      <c r="A45" s="266"/>
      <c r="B45" s="26" t="s">
        <v>151</v>
      </c>
      <c r="C45" s="34" t="s">
        <v>152</v>
      </c>
      <c r="D45" s="59">
        <v>99528</v>
      </c>
      <c r="E45" s="90">
        <v>60228</v>
      </c>
      <c r="F45" s="75">
        <v>39300</v>
      </c>
      <c r="G45" s="273"/>
      <c r="H45" s="274"/>
      <c r="I45" s="274"/>
      <c r="J45" s="275"/>
      <c r="L45" s="26">
        <f t="shared" si="2"/>
        <v>0.68</v>
      </c>
      <c r="M45" s="77">
        <f t="shared" si="1"/>
        <v>0.61</v>
      </c>
      <c r="N45" s="27">
        <f t="shared" si="1"/>
        <v>0.83</v>
      </c>
    </row>
    <row r="47" spans="1:14" ht="15" thickBot="1" x14ac:dyDescent="0.35">
      <c r="E47" s="22" t="s">
        <v>121</v>
      </c>
      <c r="F47" s="22" t="s">
        <v>122</v>
      </c>
    </row>
    <row r="48" spans="1:14" x14ac:dyDescent="0.3">
      <c r="A48" t="s">
        <v>153</v>
      </c>
      <c r="B48" s="19" t="s">
        <v>143</v>
      </c>
      <c r="C48" s="36" t="s">
        <v>154</v>
      </c>
      <c r="D48" s="78">
        <v>115915</v>
      </c>
      <c r="E48" s="79">
        <v>37961</v>
      </c>
      <c r="F48" s="91">
        <v>77954</v>
      </c>
      <c r="G48" s="246" t="s">
        <v>155</v>
      </c>
      <c r="H48" s="247"/>
      <c r="I48" s="247"/>
      <c r="J48" s="248"/>
    </row>
    <row r="49" spans="1:10" x14ac:dyDescent="0.3">
      <c r="A49" s="255" t="s">
        <v>156</v>
      </c>
      <c r="B49" s="23" t="s">
        <v>146</v>
      </c>
      <c r="C49" s="32" t="s">
        <v>157</v>
      </c>
      <c r="D49" s="81">
        <v>76040</v>
      </c>
      <c r="E49" s="82">
        <v>60903</v>
      </c>
      <c r="F49" s="92">
        <v>15137</v>
      </c>
      <c r="G49" s="249"/>
      <c r="H49" s="250"/>
      <c r="I49" s="250"/>
      <c r="J49" s="251"/>
    </row>
    <row r="50" spans="1:10" ht="15" thickBot="1" x14ac:dyDescent="0.35">
      <c r="A50" s="255"/>
      <c r="B50" s="37" t="s">
        <v>147</v>
      </c>
      <c r="C50" s="38" t="s">
        <v>158</v>
      </c>
      <c r="D50" s="84">
        <v>71222</v>
      </c>
      <c r="E50" s="85">
        <v>41181</v>
      </c>
      <c r="F50" s="93">
        <v>30041</v>
      </c>
      <c r="G50" s="252"/>
      <c r="H50" s="253"/>
      <c r="I50" s="253"/>
      <c r="J50" s="254"/>
    </row>
    <row r="51" spans="1:10" ht="15" customHeight="1" x14ac:dyDescent="0.3">
      <c r="A51" s="255"/>
      <c r="B51" s="19" t="s">
        <v>148</v>
      </c>
      <c r="C51" s="119" t="s">
        <v>159</v>
      </c>
      <c r="D51" s="50">
        <v>124812</v>
      </c>
      <c r="E51" s="87">
        <v>45957</v>
      </c>
      <c r="F51" s="94">
        <v>78855</v>
      </c>
      <c r="G51" s="256" t="s">
        <v>160</v>
      </c>
      <c r="H51" s="257"/>
      <c r="I51" s="257"/>
      <c r="J51" s="258"/>
    </row>
    <row r="52" spans="1:10" x14ac:dyDescent="0.3">
      <c r="A52" s="255"/>
      <c r="B52" s="23" t="s">
        <v>150</v>
      </c>
      <c r="C52" s="120" t="s">
        <v>161</v>
      </c>
      <c r="D52" s="57">
        <v>84428</v>
      </c>
      <c r="E52" s="89">
        <v>68575</v>
      </c>
      <c r="F52" s="95">
        <v>15853</v>
      </c>
      <c r="G52" s="259"/>
      <c r="H52" s="260"/>
      <c r="I52" s="260"/>
      <c r="J52" s="261"/>
    </row>
    <row r="53" spans="1:10" ht="15" thickBot="1" x14ac:dyDescent="0.35">
      <c r="A53" s="255"/>
      <c r="B53" s="26" t="s">
        <v>152</v>
      </c>
      <c r="C53" s="121" t="s">
        <v>162</v>
      </c>
      <c r="D53" s="62">
        <v>76340</v>
      </c>
      <c r="E53" s="90">
        <v>41413</v>
      </c>
      <c r="F53" s="96">
        <v>34927</v>
      </c>
      <c r="G53" s="262"/>
      <c r="H53" s="263"/>
      <c r="I53" s="263"/>
      <c r="J53" s="264"/>
    </row>
    <row r="54" spans="1:10" x14ac:dyDescent="0.3">
      <c r="B54" t="s">
        <v>192</v>
      </c>
      <c r="C54" s="128" t="s">
        <v>235</v>
      </c>
    </row>
    <row r="55" spans="1:10" x14ac:dyDescent="0.3">
      <c r="C55" s="128" t="s">
        <v>236</v>
      </c>
    </row>
    <row r="56" spans="1:10" x14ac:dyDescent="0.3">
      <c r="C56" s="128" t="s">
        <v>237</v>
      </c>
    </row>
    <row r="59" spans="1:10" x14ac:dyDescent="0.3">
      <c r="A59" t="s">
        <v>163</v>
      </c>
    </row>
    <row r="61" spans="1:10" x14ac:dyDescent="0.3">
      <c r="H61" s="97" t="s">
        <v>128</v>
      </c>
      <c r="I61" s="98"/>
      <c r="J61" s="98"/>
    </row>
    <row r="62" spans="1:10" ht="15" thickBot="1" x14ac:dyDescent="0.35">
      <c r="A62" t="s">
        <v>164</v>
      </c>
      <c r="E62" s="22" t="s">
        <v>121</v>
      </c>
      <c r="F62" s="22" t="s">
        <v>122</v>
      </c>
      <c r="H62" s="98"/>
      <c r="I62" s="99" t="s">
        <v>121</v>
      </c>
      <c r="J62" s="99" t="s">
        <v>122</v>
      </c>
    </row>
    <row r="63" spans="1:10" x14ac:dyDescent="0.3">
      <c r="A63" s="266" t="s">
        <v>165</v>
      </c>
      <c r="B63" s="19" t="s">
        <v>166</v>
      </c>
      <c r="C63" s="36" t="s">
        <v>167</v>
      </c>
      <c r="D63" s="100">
        <v>234299</v>
      </c>
      <c r="E63" s="41">
        <v>105326</v>
      </c>
      <c r="F63" s="42">
        <v>128973</v>
      </c>
      <c r="H63" s="78">
        <v>192231</v>
      </c>
      <c r="I63" s="79">
        <v>76442</v>
      </c>
      <c r="J63" s="80">
        <v>115789</v>
      </c>
    </row>
    <row r="64" spans="1:10" ht="15" customHeight="1" x14ac:dyDescent="0.3">
      <c r="A64" s="266"/>
      <c r="B64" s="23"/>
      <c r="C64" s="32" t="s">
        <v>168</v>
      </c>
      <c r="D64" s="57">
        <v>137594</v>
      </c>
      <c r="E64" s="44">
        <v>105326</v>
      </c>
      <c r="F64" s="45">
        <v>32268</v>
      </c>
      <c r="H64" s="81">
        <v>126736</v>
      </c>
      <c r="I64" s="82">
        <v>98121</v>
      </c>
      <c r="J64" s="83">
        <v>28615</v>
      </c>
    </row>
    <row r="65" spans="1:11" ht="15" thickBot="1" x14ac:dyDescent="0.35">
      <c r="A65" s="266"/>
      <c r="B65" s="26"/>
      <c r="C65" s="34" t="s">
        <v>169</v>
      </c>
      <c r="D65" s="62">
        <v>174340</v>
      </c>
      <c r="E65" s="47">
        <v>105326</v>
      </c>
      <c r="F65" s="48">
        <v>69014</v>
      </c>
      <c r="H65" s="101">
        <v>148628</v>
      </c>
      <c r="I65" s="102">
        <v>99765</v>
      </c>
      <c r="J65" s="103">
        <v>48863</v>
      </c>
    </row>
    <row r="66" spans="1:11" x14ac:dyDescent="0.3">
      <c r="A66" s="104"/>
      <c r="D66" s="105"/>
      <c r="E66" s="105"/>
      <c r="F66" s="105"/>
      <c r="H66" s="49"/>
    </row>
    <row r="67" spans="1:11" x14ac:dyDescent="0.3">
      <c r="A67" s="104"/>
      <c r="D67" s="105"/>
      <c r="E67" s="105"/>
      <c r="F67" s="105"/>
      <c r="H67" s="49" t="s">
        <v>128</v>
      </c>
    </row>
    <row r="68" spans="1:11" ht="15" thickBot="1" x14ac:dyDescent="0.35">
      <c r="A68" s="104"/>
      <c r="E68" s="22" t="s">
        <v>121</v>
      </c>
      <c r="F68" s="22" t="s">
        <v>122</v>
      </c>
      <c r="I68" s="22" t="s">
        <v>121</v>
      </c>
      <c r="J68" s="22" t="s">
        <v>122</v>
      </c>
    </row>
    <row r="69" spans="1:11" x14ac:dyDescent="0.3">
      <c r="A69" s="276" t="s">
        <v>170</v>
      </c>
      <c r="B69" s="19" t="s">
        <v>171</v>
      </c>
      <c r="C69" s="106" t="s">
        <v>172</v>
      </c>
      <c r="D69" s="107">
        <v>234299</v>
      </c>
      <c r="E69" s="108">
        <v>105326</v>
      </c>
      <c r="F69" s="88">
        <v>128973</v>
      </c>
      <c r="G69" s="109"/>
      <c r="H69" s="110">
        <v>171543</v>
      </c>
      <c r="I69" s="108">
        <v>56481</v>
      </c>
      <c r="J69" s="88">
        <v>115062</v>
      </c>
    </row>
    <row r="70" spans="1:11" ht="15" customHeight="1" x14ac:dyDescent="0.3">
      <c r="A70" s="276"/>
      <c r="B70" s="23" t="s">
        <v>134</v>
      </c>
      <c r="C70" s="24" t="s">
        <v>173</v>
      </c>
      <c r="D70" s="111">
        <v>137594</v>
      </c>
      <c r="E70" s="70">
        <v>105326</v>
      </c>
      <c r="F70" s="71">
        <v>32268</v>
      </c>
      <c r="H70" s="69">
        <v>119756</v>
      </c>
      <c r="I70" s="70">
        <v>91296</v>
      </c>
      <c r="J70" s="71">
        <v>28460</v>
      </c>
    </row>
    <row r="71" spans="1:11" ht="15" thickBot="1" x14ac:dyDescent="0.35">
      <c r="A71" s="276"/>
      <c r="B71" s="26" t="s">
        <v>174</v>
      </c>
      <c r="C71" s="27" t="s">
        <v>175</v>
      </c>
      <c r="D71" s="112">
        <v>174340</v>
      </c>
      <c r="E71" s="74">
        <v>105326</v>
      </c>
      <c r="F71" s="75">
        <v>69014</v>
      </c>
      <c r="H71" s="73">
        <v>147100</v>
      </c>
      <c r="I71" s="74">
        <v>99527</v>
      </c>
      <c r="J71" s="75">
        <v>47573</v>
      </c>
    </row>
    <row r="72" spans="1:11" ht="15" thickBot="1" x14ac:dyDescent="0.35">
      <c r="A72" s="104"/>
      <c r="D72" s="105"/>
      <c r="E72" s="105"/>
      <c r="F72" s="105"/>
      <c r="H72" s="49"/>
    </row>
    <row r="73" spans="1:11" x14ac:dyDescent="0.3">
      <c r="A73" s="265" t="s">
        <v>145</v>
      </c>
      <c r="B73" s="19" t="s">
        <v>172</v>
      </c>
      <c r="C73" s="106" t="s">
        <v>176</v>
      </c>
      <c r="D73" s="113">
        <v>166553</v>
      </c>
      <c r="E73" s="87">
        <v>72016</v>
      </c>
      <c r="F73" s="88">
        <v>94537</v>
      </c>
      <c r="G73" s="267" t="s">
        <v>177</v>
      </c>
      <c r="H73" s="268"/>
      <c r="I73" s="268"/>
      <c r="J73" s="269"/>
    </row>
    <row r="74" spans="1:11" x14ac:dyDescent="0.3">
      <c r="A74" s="265"/>
      <c r="B74" s="23" t="s">
        <v>173</v>
      </c>
      <c r="C74" s="24" t="s">
        <v>178</v>
      </c>
      <c r="D74" s="114">
        <v>103536</v>
      </c>
      <c r="E74" s="89">
        <v>79840</v>
      </c>
      <c r="F74" s="71">
        <v>23696</v>
      </c>
      <c r="G74" s="270"/>
      <c r="H74" s="271"/>
      <c r="I74" s="271"/>
      <c r="J74" s="272"/>
      <c r="K74" t="s">
        <v>185</v>
      </c>
    </row>
    <row r="75" spans="1:11" ht="15" thickBot="1" x14ac:dyDescent="0.35">
      <c r="A75" s="265"/>
      <c r="B75" s="26" t="s">
        <v>175</v>
      </c>
      <c r="C75" s="27" t="s">
        <v>179</v>
      </c>
      <c r="D75" s="115">
        <v>104097</v>
      </c>
      <c r="E75" s="90">
        <v>64797</v>
      </c>
      <c r="F75" s="75">
        <v>39300</v>
      </c>
      <c r="G75" s="273"/>
      <c r="H75" s="274"/>
      <c r="I75" s="274"/>
      <c r="J75" s="275"/>
    </row>
    <row r="77" spans="1:11" ht="15" thickBot="1" x14ac:dyDescent="0.35">
      <c r="E77" s="22" t="s">
        <v>121</v>
      </c>
      <c r="F77" s="22" t="s">
        <v>122</v>
      </c>
    </row>
    <row r="78" spans="1:11" x14ac:dyDescent="0.3">
      <c r="B78" s="19" t="s">
        <v>176</v>
      </c>
      <c r="C78" s="140" t="s">
        <v>180</v>
      </c>
      <c r="D78" s="40">
        <v>147753</v>
      </c>
      <c r="E78" s="87">
        <v>69576</v>
      </c>
      <c r="F78" s="116">
        <v>78177</v>
      </c>
      <c r="G78" s="268" t="s">
        <v>181</v>
      </c>
      <c r="H78" s="268"/>
      <c r="I78" s="268"/>
      <c r="J78" s="269"/>
    </row>
    <row r="79" spans="1:11" x14ac:dyDescent="0.3">
      <c r="A79" t="s">
        <v>156</v>
      </c>
      <c r="B79" s="23" t="s">
        <v>178</v>
      </c>
      <c r="C79" s="141" t="s">
        <v>182</v>
      </c>
      <c r="D79" s="43">
        <v>90543</v>
      </c>
      <c r="E79" s="89">
        <v>74378</v>
      </c>
      <c r="F79" s="117">
        <v>16165</v>
      </c>
      <c r="G79" s="271"/>
      <c r="H79" s="271"/>
      <c r="I79" s="271"/>
      <c r="J79" s="272"/>
      <c r="K79" t="s">
        <v>184</v>
      </c>
    </row>
    <row r="80" spans="1:11" ht="15" thickBot="1" x14ac:dyDescent="0.35">
      <c r="B80" s="26" t="s">
        <v>179</v>
      </c>
      <c r="C80" s="142" t="s">
        <v>183</v>
      </c>
      <c r="D80" s="46">
        <v>81703</v>
      </c>
      <c r="E80" s="90">
        <v>46246</v>
      </c>
      <c r="F80" s="118">
        <v>35457</v>
      </c>
      <c r="G80" s="274"/>
      <c r="H80" s="274"/>
      <c r="I80" s="274"/>
      <c r="J80" s="275"/>
    </row>
    <row r="81" spans="1:3" x14ac:dyDescent="0.3">
      <c r="C81" s="139" t="s">
        <v>238</v>
      </c>
    </row>
    <row r="82" spans="1:3" x14ac:dyDescent="0.3">
      <c r="A82" t="s">
        <v>241</v>
      </c>
      <c r="B82" t="s">
        <v>191</v>
      </c>
      <c r="C82" s="139" t="s">
        <v>239</v>
      </c>
    </row>
    <row r="83" spans="1:3" x14ac:dyDescent="0.3">
      <c r="C83" s="139" t="s">
        <v>240</v>
      </c>
    </row>
  </sheetData>
  <mergeCells count="13">
    <mergeCell ref="A63:A65"/>
    <mergeCell ref="A69:A71"/>
    <mergeCell ref="A73:A75"/>
    <mergeCell ref="G73:J75"/>
    <mergeCell ref="G78:J80"/>
    <mergeCell ref="G48:J50"/>
    <mergeCell ref="A49:A53"/>
    <mergeCell ref="G51:J53"/>
    <mergeCell ref="A27:A29"/>
    <mergeCell ref="A33:A37"/>
    <mergeCell ref="G40:J42"/>
    <mergeCell ref="A41:A45"/>
    <mergeCell ref="G43:J45"/>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A6C5-4C9B-4808-91A3-FAAA4E3E9EFE}">
  <dimension ref="A2:I17"/>
  <sheetViews>
    <sheetView workbookViewId="0">
      <selection activeCell="C17" sqref="C17"/>
    </sheetView>
  </sheetViews>
  <sheetFormatPr defaultRowHeight="14.4" x14ac:dyDescent="0.3"/>
  <cols>
    <col min="1" max="1" width="28.33203125" customWidth="1"/>
    <col min="2" max="2" width="52.109375" style="6" customWidth="1"/>
    <col min="3" max="3" width="16" bestFit="1" customWidth="1"/>
    <col min="4" max="4" width="21.33203125" style="4" customWidth="1"/>
    <col min="5" max="5" width="17.88671875" bestFit="1" customWidth="1"/>
    <col min="7" max="7" width="13.6640625" style="4" customWidth="1"/>
    <col min="8" max="8" width="24.33203125" style="4" customWidth="1"/>
    <col min="9" max="9" width="17.88671875" style="4" customWidth="1"/>
  </cols>
  <sheetData>
    <row r="2" spans="1:9" x14ac:dyDescent="0.3">
      <c r="C2" t="s">
        <v>5</v>
      </c>
      <c r="G2" s="7" t="s">
        <v>6</v>
      </c>
    </row>
    <row r="3" spans="1:9" x14ac:dyDescent="0.3">
      <c r="A3" t="s">
        <v>2</v>
      </c>
      <c r="C3" s="4" t="s">
        <v>3</v>
      </c>
      <c r="D3" s="4" t="s">
        <v>4</v>
      </c>
      <c r="E3" s="4" t="s">
        <v>11</v>
      </c>
      <c r="G3" s="4" t="s">
        <v>3</v>
      </c>
      <c r="H3" s="4" t="s">
        <v>4</v>
      </c>
      <c r="I3" s="4" t="s">
        <v>11</v>
      </c>
    </row>
    <row r="4" spans="1:9" ht="28.8" x14ac:dyDescent="0.3">
      <c r="B4" s="6" t="s">
        <v>14</v>
      </c>
    </row>
    <row r="5" spans="1:9" x14ac:dyDescent="0.3">
      <c r="A5" t="s">
        <v>245</v>
      </c>
      <c r="B5" s="129" t="s">
        <v>8</v>
      </c>
      <c r="C5" s="1">
        <v>0</v>
      </c>
      <c r="D5" s="3">
        <v>0</v>
      </c>
      <c r="E5" s="1"/>
      <c r="G5" s="3">
        <v>0</v>
      </c>
      <c r="H5" s="3">
        <v>0</v>
      </c>
      <c r="I5" s="3"/>
    </row>
    <row r="6" spans="1:9" x14ac:dyDescent="0.3">
      <c r="B6" s="129" t="s">
        <v>9</v>
      </c>
      <c r="C6" s="1">
        <v>0</v>
      </c>
      <c r="D6" s="3">
        <v>0</v>
      </c>
      <c r="E6" s="1"/>
      <c r="G6" s="3">
        <v>0</v>
      </c>
      <c r="H6" s="3">
        <v>0</v>
      </c>
      <c r="I6" s="3"/>
    </row>
    <row r="7" spans="1:9" x14ac:dyDescent="0.3">
      <c r="B7" s="6" t="s">
        <v>20</v>
      </c>
      <c r="C7">
        <v>96</v>
      </c>
      <c r="D7" s="5">
        <v>182461</v>
      </c>
      <c r="G7" s="4">
        <v>180</v>
      </c>
      <c r="H7" s="5">
        <v>363438</v>
      </c>
    </row>
    <row r="8" spans="1:9" x14ac:dyDescent="0.3">
      <c r="B8" s="6" t="s">
        <v>0</v>
      </c>
      <c r="C8">
        <v>96</v>
      </c>
      <c r="D8" s="5">
        <v>182461</v>
      </c>
      <c r="E8" s="4" t="s">
        <v>12</v>
      </c>
      <c r="G8" s="4">
        <v>180</v>
      </c>
      <c r="H8" s="5">
        <v>363438</v>
      </c>
      <c r="I8" s="4" t="s">
        <v>13</v>
      </c>
    </row>
    <row r="10" spans="1:9" x14ac:dyDescent="0.3">
      <c r="A10" t="s">
        <v>1</v>
      </c>
    </row>
    <row r="11" spans="1:9" ht="28.8" x14ac:dyDescent="0.3">
      <c r="B11" s="6" t="s">
        <v>7</v>
      </c>
    </row>
    <row r="12" spans="1:9" x14ac:dyDescent="0.3">
      <c r="A12" t="s">
        <v>243</v>
      </c>
      <c r="B12" s="130" t="s">
        <v>8</v>
      </c>
      <c r="C12">
        <v>0</v>
      </c>
      <c r="D12" s="4">
        <v>0</v>
      </c>
      <c r="G12" s="4" t="s">
        <v>24</v>
      </c>
      <c r="H12" s="4" t="s">
        <v>25</v>
      </c>
    </row>
    <row r="13" spans="1:9" x14ac:dyDescent="0.3">
      <c r="A13" t="s">
        <v>242</v>
      </c>
      <c r="B13" s="131" t="s">
        <v>9</v>
      </c>
      <c r="C13" s="3" t="s">
        <v>15</v>
      </c>
      <c r="D13" s="3" t="s">
        <v>19</v>
      </c>
      <c r="G13" s="3" t="s">
        <v>18</v>
      </c>
      <c r="H13" s="3" t="s">
        <v>17</v>
      </c>
    </row>
    <row r="14" spans="1:9" x14ac:dyDescent="0.3">
      <c r="A14" t="s">
        <v>244</v>
      </c>
      <c r="B14" s="6" t="s">
        <v>10</v>
      </c>
      <c r="C14">
        <v>96</v>
      </c>
      <c r="D14" s="5">
        <v>182461</v>
      </c>
      <c r="G14" s="4" t="s">
        <v>26</v>
      </c>
      <c r="H14" s="4" t="s">
        <v>27</v>
      </c>
    </row>
    <row r="15" spans="1:9" x14ac:dyDescent="0.3">
      <c r="B15" s="6" t="s">
        <v>0</v>
      </c>
      <c r="C15" s="4" t="s">
        <v>16</v>
      </c>
      <c r="D15" s="5" t="s">
        <v>21</v>
      </c>
      <c r="E15" s="4" t="s">
        <v>23</v>
      </c>
      <c r="G15" s="4" t="s">
        <v>29</v>
      </c>
      <c r="H15" s="3" t="s">
        <v>28</v>
      </c>
      <c r="I15" s="4" t="s">
        <v>22</v>
      </c>
    </row>
    <row r="16" spans="1:9" x14ac:dyDescent="0.3">
      <c r="D16" s="5"/>
      <c r="E16" s="2"/>
    </row>
    <row r="17" spans="4:5" x14ac:dyDescent="0.3">
      <c r="D17" s="5"/>
      <c r="E17" s="2"/>
    </row>
  </sheetData>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74FDD-8077-42D6-8268-4BCF777AC920}">
  <dimension ref="A1:J7"/>
  <sheetViews>
    <sheetView zoomScale="180" zoomScaleNormal="180" workbookViewId="0">
      <selection activeCell="A6" sqref="A6"/>
    </sheetView>
  </sheetViews>
  <sheetFormatPr defaultRowHeight="14.4" x14ac:dyDescent="0.3"/>
  <sheetData>
    <row r="1" spans="1:10" x14ac:dyDescent="0.3">
      <c r="A1" s="222"/>
    </row>
    <row r="2" spans="1:10" ht="15" thickBot="1" x14ac:dyDescent="0.35">
      <c r="A2" s="223" t="s">
        <v>2518</v>
      </c>
    </row>
    <row r="3" spans="1:10" ht="24.6" thickBot="1" x14ac:dyDescent="0.35">
      <c r="A3" s="224" t="s">
        <v>322</v>
      </c>
      <c r="B3" s="230" t="s">
        <v>2519</v>
      </c>
      <c r="C3" s="231"/>
      <c r="D3" s="232"/>
      <c r="E3" s="230" t="s">
        <v>2520</v>
      </c>
      <c r="F3" s="231"/>
      <c r="G3" s="232"/>
      <c r="H3" s="233" t="s">
        <v>2521</v>
      </c>
      <c r="I3" s="234"/>
      <c r="J3" s="235"/>
    </row>
    <row r="4" spans="1:10" ht="24" x14ac:dyDescent="0.3">
      <c r="A4" s="236" t="s">
        <v>322</v>
      </c>
      <c r="B4" s="225" t="s">
        <v>2522</v>
      </c>
      <c r="C4" s="225" t="s">
        <v>2524</v>
      </c>
      <c r="D4" s="238" t="s">
        <v>2525</v>
      </c>
      <c r="E4" s="225" t="s">
        <v>2522</v>
      </c>
      <c r="F4" s="225" t="s">
        <v>2524</v>
      </c>
      <c r="G4" s="236" t="s">
        <v>2525</v>
      </c>
      <c r="H4" s="227" t="s">
        <v>2522</v>
      </c>
      <c r="I4" s="227" t="s">
        <v>2524</v>
      </c>
      <c r="J4" s="236" t="s">
        <v>2525</v>
      </c>
    </row>
    <row r="5" spans="1:10" ht="15" thickBot="1" x14ac:dyDescent="0.35">
      <c r="A5" s="237"/>
      <c r="B5" s="226" t="s">
        <v>2523</v>
      </c>
      <c r="C5" s="226" t="s">
        <v>2523</v>
      </c>
      <c r="D5" s="239"/>
      <c r="E5" s="226" t="s">
        <v>2523</v>
      </c>
      <c r="F5" s="226" t="s">
        <v>2523</v>
      </c>
      <c r="G5" s="237"/>
      <c r="H5" s="228" t="s">
        <v>2523</v>
      </c>
      <c r="I5" s="228" t="s">
        <v>2523</v>
      </c>
      <c r="J5" s="237"/>
    </row>
    <row r="6" spans="1:10" ht="15.6" x14ac:dyDescent="0.3">
      <c r="A6" s="229"/>
      <c r="B6" s="229"/>
      <c r="C6" s="229"/>
      <c r="D6" s="229"/>
      <c r="E6" s="229"/>
      <c r="F6" s="229"/>
      <c r="G6" s="229"/>
      <c r="H6" s="229"/>
      <c r="I6" s="229"/>
      <c r="J6" s="229"/>
    </row>
    <row r="7" spans="1:10" x14ac:dyDescent="0.3">
      <c r="A7" s="222"/>
    </row>
  </sheetData>
  <mergeCells count="7">
    <mergeCell ref="B3:D3"/>
    <mergeCell ref="E3:G3"/>
    <mergeCell ref="H3:J3"/>
    <mergeCell ref="A4:A5"/>
    <mergeCell ref="D4:D5"/>
    <mergeCell ref="G4:G5"/>
    <mergeCell ref="J4:J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5BD37-6A3D-4C3D-A52F-A8FEED4ADF99}">
  <dimension ref="A1:N78"/>
  <sheetViews>
    <sheetView workbookViewId="0">
      <selection activeCell="E6" sqref="E6"/>
    </sheetView>
  </sheetViews>
  <sheetFormatPr defaultRowHeight="14.4" x14ac:dyDescent="0.3"/>
  <cols>
    <col min="5" max="8" width="9.109375"/>
    <col min="9" max="10" width="9.109375" style="186"/>
    <col min="11" max="12" width="9.109375"/>
    <col min="13" max="14" width="9.109375" style="186"/>
  </cols>
  <sheetData>
    <row r="1" spans="2:14" x14ac:dyDescent="0.3">
      <c r="C1" t="s">
        <v>228</v>
      </c>
      <c r="H1" t="s">
        <v>2177</v>
      </c>
    </row>
    <row r="2" spans="2:14" x14ac:dyDescent="0.3">
      <c r="C2" t="s">
        <v>2055</v>
      </c>
      <c r="H2" t="s">
        <v>2054</v>
      </c>
      <c r="K2" t="s">
        <v>2179</v>
      </c>
    </row>
    <row r="3" spans="2:14" ht="15" thickBot="1" x14ac:dyDescent="0.35">
      <c r="C3" t="s">
        <v>2178</v>
      </c>
      <c r="F3">
        <f>70451-46794</f>
        <v>23657</v>
      </c>
    </row>
    <row r="4" spans="2:14" ht="15" thickBot="1" x14ac:dyDescent="0.35">
      <c r="B4" s="156"/>
      <c r="C4" s="277" t="s">
        <v>377</v>
      </c>
      <c r="D4" s="278"/>
      <c r="E4" s="278"/>
      <c r="F4" s="279"/>
      <c r="G4" s="280" t="s">
        <v>378</v>
      </c>
      <c r="H4" s="278"/>
      <c r="I4" s="278"/>
      <c r="J4" s="279"/>
      <c r="K4" s="281" t="s">
        <v>295</v>
      </c>
      <c r="L4" s="282"/>
      <c r="M4" s="282"/>
      <c r="N4" s="282"/>
    </row>
    <row r="5" spans="2:14" ht="15" thickBot="1" x14ac:dyDescent="0.35">
      <c r="B5" s="157"/>
      <c r="C5" s="283" t="s">
        <v>323</v>
      </c>
      <c r="D5" s="284"/>
      <c r="E5" s="280" t="s">
        <v>324</v>
      </c>
      <c r="F5" s="279"/>
      <c r="G5" s="285" t="s">
        <v>323</v>
      </c>
      <c r="H5" s="284"/>
      <c r="I5" s="281" t="s">
        <v>324</v>
      </c>
      <c r="J5" s="286"/>
      <c r="K5" s="285" t="s">
        <v>323</v>
      </c>
      <c r="L5" s="284"/>
      <c r="M5" s="281" t="s">
        <v>324</v>
      </c>
      <c r="N5" s="282"/>
    </row>
    <row r="6" spans="2:14" ht="25.5" customHeight="1" x14ac:dyDescent="0.3">
      <c r="B6" s="157" t="s">
        <v>322</v>
      </c>
      <c r="C6" s="149" t="s">
        <v>325</v>
      </c>
      <c r="D6" s="149" t="s">
        <v>326</v>
      </c>
      <c r="E6" s="151" t="s">
        <v>325</v>
      </c>
      <c r="F6" s="151" t="s">
        <v>326</v>
      </c>
      <c r="G6" s="149" t="s">
        <v>325</v>
      </c>
      <c r="H6" s="149" t="s">
        <v>384</v>
      </c>
      <c r="I6" s="187" t="s">
        <v>325</v>
      </c>
      <c r="J6" s="187" t="s">
        <v>384</v>
      </c>
      <c r="K6" s="149" t="s">
        <v>325</v>
      </c>
      <c r="L6" s="149" t="s">
        <v>357</v>
      </c>
      <c r="M6" s="187" t="s">
        <v>325</v>
      </c>
      <c r="N6" s="187" t="s">
        <v>357</v>
      </c>
    </row>
    <row r="7" spans="2:14" ht="15" thickBot="1" x14ac:dyDescent="0.35">
      <c r="B7" s="158"/>
      <c r="C7" s="150" t="s">
        <v>1079</v>
      </c>
      <c r="D7" s="150" t="s">
        <v>1080</v>
      </c>
      <c r="E7" s="152" t="s">
        <v>2056</v>
      </c>
      <c r="F7" s="152" t="s">
        <v>1080</v>
      </c>
      <c r="G7" s="150" t="s">
        <v>1516</v>
      </c>
      <c r="H7" s="150" t="s">
        <v>1517</v>
      </c>
      <c r="I7" s="188"/>
      <c r="J7" s="188"/>
      <c r="K7" s="177" t="s">
        <v>388</v>
      </c>
      <c r="L7" s="177" t="s">
        <v>389</v>
      </c>
      <c r="M7" s="188"/>
      <c r="N7" s="188"/>
    </row>
    <row r="8" spans="2:14" ht="24.6" thickBot="1" x14ac:dyDescent="0.35">
      <c r="B8" s="160" t="s">
        <v>330</v>
      </c>
      <c r="C8" s="154" t="s">
        <v>1085</v>
      </c>
      <c r="D8" s="154" t="s">
        <v>1086</v>
      </c>
      <c r="E8" s="155" t="s">
        <v>2058</v>
      </c>
      <c r="F8" s="155" t="s">
        <v>1086</v>
      </c>
      <c r="G8" s="154" t="s">
        <v>1519</v>
      </c>
      <c r="H8" s="154" t="s">
        <v>1520</v>
      </c>
      <c r="I8" s="189"/>
      <c r="J8" s="189"/>
      <c r="K8" s="178" t="s">
        <v>399</v>
      </c>
      <c r="L8" s="178" t="s">
        <v>400</v>
      </c>
      <c r="M8" s="189"/>
      <c r="N8" s="189"/>
    </row>
    <row r="9" spans="2:14" ht="24.6" thickBot="1" x14ac:dyDescent="0.35">
      <c r="B9" s="161" t="s">
        <v>331</v>
      </c>
      <c r="C9" s="154" t="s">
        <v>1089</v>
      </c>
      <c r="D9" s="154" t="s">
        <v>1090</v>
      </c>
      <c r="E9" s="155" t="s">
        <v>2060</v>
      </c>
      <c r="F9" s="155" t="s">
        <v>1090</v>
      </c>
      <c r="G9" s="154" t="s">
        <v>1522</v>
      </c>
      <c r="H9" s="154" t="s">
        <v>1523</v>
      </c>
      <c r="I9" s="189"/>
      <c r="J9" s="189"/>
      <c r="K9" s="178" t="s">
        <v>411</v>
      </c>
      <c r="L9" s="178" t="s">
        <v>412</v>
      </c>
      <c r="M9" s="189"/>
      <c r="N9" s="189"/>
    </row>
    <row r="10" spans="2:14" ht="27" thickBot="1" x14ac:dyDescent="0.35">
      <c r="B10" s="161" t="s">
        <v>332</v>
      </c>
      <c r="C10" s="162"/>
      <c r="D10" s="162"/>
      <c r="E10" s="163"/>
      <c r="F10" s="163"/>
      <c r="G10" s="162"/>
      <c r="H10" s="162"/>
      <c r="I10" s="190"/>
      <c r="J10" s="190"/>
      <c r="K10" s="179"/>
      <c r="L10" s="179"/>
      <c r="M10" s="190"/>
      <c r="N10" s="190"/>
    </row>
    <row r="11" spans="2:14" ht="24.6" thickBot="1" x14ac:dyDescent="0.35">
      <c r="B11" s="161">
        <v>2007</v>
      </c>
      <c r="C11" s="154" t="s">
        <v>1093</v>
      </c>
      <c r="D11" s="154" t="s">
        <v>1094</v>
      </c>
      <c r="E11" s="155" t="s">
        <v>2062</v>
      </c>
      <c r="F11" s="155" t="s">
        <v>1094</v>
      </c>
      <c r="G11" s="154" t="s">
        <v>1525</v>
      </c>
      <c r="H11" s="154" t="s">
        <v>1526</v>
      </c>
      <c r="I11" s="191"/>
      <c r="J11" s="191"/>
      <c r="K11" s="178" t="s">
        <v>419</v>
      </c>
      <c r="L11" s="178" t="s">
        <v>419</v>
      </c>
      <c r="M11" s="191"/>
      <c r="N11" s="191"/>
    </row>
    <row r="12" spans="2:14" ht="24.6" thickBot="1" x14ac:dyDescent="0.35">
      <c r="B12" s="161">
        <v>2008</v>
      </c>
      <c r="C12" s="154" t="s">
        <v>1096</v>
      </c>
      <c r="D12" s="154" t="s">
        <v>1097</v>
      </c>
      <c r="E12" s="155" t="s">
        <v>2063</v>
      </c>
      <c r="F12" s="155" t="s">
        <v>1097</v>
      </c>
      <c r="G12" s="154" t="s">
        <v>1527</v>
      </c>
      <c r="H12" s="154" t="s">
        <v>1528</v>
      </c>
      <c r="I12" s="189"/>
      <c r="J12" s="189"/>
      <c r="K12" s="178" t="s">
        <v>419</v>
      </c>
      <c r="L12" s="178" t="s">
        <v>419</v>
      </c>
      <c r="M12" s="191"/>
      <c r="N12" s="191"/>
    </row>
    <row r="13" spans="2:14" ht="24.6" thickBot="1" x14ac:dyDescent="0.35">
      <c r="B13" s="161">
        <v>2009</v>
      </c>
      <c r="C13" s="154" t="s">
        <v>1099</v>
      </c>
      <c r="D13" s="154" t="s">
        <v>1100</v>
      </c>
      <c r="E13" s="155" t="s">
        <v>2065</v>
      </c>
      <c r="F13" s="155" t="s">
        <v>1100</v>
      </c>
      <c r="G13" s="154" t="s">
        <v>1530</v>
      </c>
      <c r="H13" s="154" t="s">
        <v>1531</v>
      </c>
      <c r="I13" s="189"/>
      <c r="J13" s="189"/>
      <c r="K13" s="178" t="s">
        <v>419</v>
      </c>
      <c r="L13" s="178" t="s">
        <v>419</v>
      </c>
      <c r="M13" s="191"/>
      <c r="N13" s="191"/>
    </row>
    <row r="14" spans="2:14" ht="24.6" thickBot="1" x14ac:dyDescent="0.35">
      <c r="B14" s="161">
        <v>2010</v>
      </c>
      <c r="C14" s="154" t="s">
        <v>1102</v>
      </c>
      <c r="D14" s="154" t="s">
        <v>1103</v>
      </c>
      <c r="E14" s="155" t="s">
        <v>2067</v>
      </c>
      <c r="F14" s="155" t="s">
        <v>1103</v>
      </c>
      <c r="G14" s="154" t="s">
        <v>1533</v>
      </c>
      <c r="H14" s="154" t="s">
        <v>1534</v>
      </c>
      <c r="I14" s="189"/>
      <c r="J14" s="189"/>
      <c r="K14" s="178" t="s">
        <v>419</v>
      </c>
      <c r="L14" s="178" t="s">
        <v>419</v>
      </c>
      <c r="M14" s="191"/>
      <c r="N14" s="191"/>
    </row>
    <row r="15" spans="2:14" ht="24.6" thickBot="1" x14ac:dyDescent="0.35">
      <c r="B15" s="161">
        <v>2011</v>
      </c>
      <c r="C15" s="154" t="s">
        <v>1105</v>
      </c>
      <c r="D15" s="154" t="s">
        <v>1106</v>
      </c>
      <c r="E15" s="155" t="s">
        <v>2069</v>
      </c>
      <c r="F15" s="155" t="s">
        <v>1106</v>
      </c>
      <c r="G15" s="154" t="s">
        <v>1536</v>
      </c>
      <c r="H15" s="154" t="s">
        <v>1537</v>
      </c>
      <c r="I15" s="189"/>
      <c r="J15" s="189"/>
      <c r="K15" s="178" t="s">
        <v>419</v>
      </c>
      <c r="L15" s="178" t="s">
        <v>419</v>
      </c>
      <c r="M15" s="191"/>
      <c r="N15" s="191"/>
    </row>
    <row r="16" spans="2:14" ht="24.6" thickBot="1" x14ac:dyDescent="0.35">
      <c r="B16" s="161">
        <v>2012</v>
      </c>
      <c r="C16" s="154" t="s">
        <v>1108</v>
      </c>
      <c r="D16" s="154" t="s">
        <v>1109</v>
      </c>
      <c r="E16" s="155" t="s">
        <v>2071</v>
      </c>
      <c r="F16" s="155" t="s">
        <v>1109</v>
      </c>
      <c r="G16" s="154" t="s">
        <v>1539</v>
      </c>
      <c r="H16" s="154" t="s">
        <v>1540</v>
      </c>
      <c r="I16" s="189"/>
      <c r="J16" s="189"/>
      <c r="K16" s="178" t="s">
        <v>419</v>
      </c>
      <c r="L16" s="178" t="s">
        <v>419</v>
      </c>
      <c r="M16" s="191"/>
      <c r="N16" s="191"/>
    </row>
    <row r="17" spans="1:14" ht="24.6" thickBot="1" x14ac:dyDescent="0.35">
      <c r="B17" s="161">
        <v>2013</v>
      </c>
      <c r="C17" s="154" t="s">
        <v>1111</v>
      </c>
      <c r="D17" s="154" t="s">
        <v>1112</v>
      </c>
      <c r="E17" s="155" t="s">
        <v>2073</v>
      </c>
      <c r="F17" s="155" t="s">
        <v>1112</v>
      </c>
      <c r="G17" s="154" t="s">
        <v>1542</v>
      </c>
      <c r="H17" s="154" t="s">
        <v>1543</v>
      </c>
      <c r="I17" s="189"/>
      <c r="J17" s="189"/>
      <c r="K17" s="178" t="s">
        <v>468</v>
      </c>
      <c r="L17" s="178" t="s">
        <v>469</v>
      </c>
      <c r="M17" s="189"/>
      <c r="N17" s="189"/>
    </row>
    <row r="18" spans="1:14" ht="24.6" thickBot="1" x14ac:dyDescent="0.35">
      <c r="A18" t="s">
        <v>2488</v>
      </c>
      <c r="B18" s="161">
        <v>2014</v>
      </c>
      <c r="C18" s="154" t="s">
        <v>1114</v>
      </c>
      <c r="D18" s="154" t="s">
        <v>1115</v>
      </c>
      <c r="E18" s="155" t="s">
        <v>2075</v>
      </c>
      <c r="F18" s="155" t="s">
        <v>1115</v>
      </c>
      <c r="G18" s="154" t="s">
        <v>1545</v>
      </c>
      <c r="H18" s="154" t="s">
        <v>1546</v>
      </c>
      <c r="I18" s="189"/>
      <c r="J18" s="189"/>
      <c r="K18" s="178" t="s">
        <v>480</v>
      </c>
      <c r="L18" s="178" t="s">
        <v>481</v>
      </c>
      <c r="M18" s="189"/>
      <c r="N18" s="189"/>
    </row>
    <row r="19" spans="1:14" ht="24.6" thickBot="1" x14ac:dyDescent="0.35">
      <c r="B19" s="161">
        <v>2015</v>
      </c>
      <c r="C19" s="154" t="s">
        <v>1117</v>
      </c>
      <c r="D19" s="154" t="s">
        <v>1118</v>
      </c>
      <c r="E19" s="155" t="s">
        <v>2077</v>
      </c>
      <c r="F19" s="155" t="s">
        <v>1118</v>
      </c>
      <c r="G19" s="154" t="s">
        <v>1548</v>
      </c>
      <c r="H19" s="154" t="s">
        <v>1549</v>
      </c>
      <c r="I19" s="189"/>
      <c r="J19" s="189"/>
      <c r="K19" s="178" t="s">
        <v>492</v>
      </c>
      <c r="L19" s="178" t="s">
        <v>493</v>
      </c>
      <c r="M19" s="189"/>
      <c r="N19" s="189"/>
    </row>
    <row r="20" spans="1:14" ht="24.6" thickBot="1" x14ac:dyDescent="0.35">
      <c r="B20" s="161">
        <v>2016</v>
      </c>
      <c r="C20" s="154" t="s">
        <v>1120</v>
      </c>
      <c r="D20" s="154" t="s">
        <v>1121</v>
      </c>
      <c r="E20" s="155" t="s">
        <v>2079</v>
      </c>
      <c r="F20" s="155" t="s">
        <v>1121</v>
      </c>
      <c r="G20" s="154" t="s">
        <v>1551</v>
      </c>
      <c r="H20" s="154" t="s">
        <v>1552</v>
      </c>
      <c r="I20" s="189"/>
      <c r="J20" s="189"/>
      <c r="K20" s="178" t="s">
        <v>504</v>
      </c>
      <c r="L20" s="178" t="s">
        <v>505</v>
      </c>
      <c r="M20" s="189"/>
      <c r="N20" s="189"/>
    </row>
    <row r="21" spans="1:14" ht="24.6" thickBot="1" x14ac:dyDescent="0.35">
      <c r="B21" s="161">
        <v>2017</v>
      </c>
      <c r="C21" s="154" t="s">
        <v>1123</v>
      </c>
      <c r="D21" s="154" t="s">
        <v>1124</v>
      </c>
      <c r="E21" s="155" t="s">
        <v>2081</v>
      </c>
      <c r="F21" s="155" t="s">
        <v>1124</v>
      </c>
      <c r="G21" s="154" t="s">
        <v>1554</v>
      </c>
      <c r="H21" s="154" t="s">
        <v>1555</v>
      </c>
      <c r="I21" s="189"/>
      <c r="J21" s="189"/>
      <c r="K21" s="178" t="s">
        <v>516</v>
      </c>
      <c r="L21" s="178" t="s">
        <v>517</v>
      </c>
      <c r="M21" s="189"/>
      <c r="N21" s="189"/>
    </row>
    <row r="22" spans="1:14" ht="24.6" thickBot="1" x14ac:dyDescent="0.35">
      <c r="B22" s="161">
        <v>2018</v>
      </c>
      <c r="C22" s="154" t="s">
        <v>1126</v>
      </c>
      <c r="D22" s="154" t="s">
        <v>1127</v>
      </c>
      <c r="E22" s="155" t="s">
        <v>2083</v>
      </c>
      <c r="F22" s="155" t="s">
        <v>1127</v>
      </c>
      <c r="G22" s="154" t="s">
        <v>1557</v>
      </c>
      <c r="H22" s="154" t="s">
        <v>1558</v>
      </c>
      <c r="I22" s="189"/>
      <c r="J22" s="189"/>
      <c r="K22" s="178" t="s">
        <v>528</v>
      </c>
      <c r="L22" s="178" t="s">
        <v>529</v>
      </c>
      <c r="M22" s="189"/>
      <c r="N22" s="189"/>
    </row>
    <row r="23" spans="1:14" ht="24.6" thickBot="1" x14ac:dyDescent="0.35">
      <c r="B23" s="161">
        <v>2019</v>
      </c>
      <c r="C23" s="154" t="s">
        <v>1129</v>
      </c>
      <c r="D23" s="154" t="s">
        <v>1130</v>
      </c>
      <c r="E23" s="155" t="s">
        <v>2085</v>
      </c>
      <c r="F23" s="155" t="s">
        <v>1130</v>
      </c>
      <c r="G23" s="154" t="s">
        <v>1560</v>
      </c>
      <c r="H23" s="154" t="s">
        <v>1561</v>
      </c>
      <c r="I23" s="189"/>
      <c r="J23" s="189"/>
      <c r="K23" s="178" t="s">
        <v>540</v>
      </c>
      <c r="L23" s="178" t="s">
        <v>541</v>
      </c>
      <c r="M23" s="189"/>
      <c r="N23" s="189"/>
    </row>
    <row r="24" spans="1:14" ht="24.6" thickBot="1" x14ac:dyDescent="0.35">
      <c r="B24" s="161">
        <v>2020</v>
      </c>
      <c r="C24" s="154" t="s">
        <v>1132</v>
      </c>
      <c r="D24" s="154" t="s">
        <v>1133</v>
      </c>
      <c r="E24" s="155" t="s">
        <v>2087</v>
      </c>
      <c r="F24" s="155" t="s">
        <v>1133</v>
      </c>
      <c r="G24" s="154" t="s">
        <v>1563</v>
      </c>
      <c r="H24" s="154" t="s">
        <v>1564</v>
      </c>
      <c r="I24" s="189"/>
      <c r="J24" s="189"/>
      <c r="K24" s="178" t="s">
        <v>552</v>
      </c>
      <c r="L24" s="178" t="s">
        <v>553</v>
      </c>
      <c r="M24" s="189"/>
      <c r="N24" s="189"/>
    </row>
    <row r="25" spans="1:14" ht="24.6" thickBot="1" x14ac:dyDescent="0.35">
      <c r="B25" s="161">
        <v>2021</v>
      </c>
      <c r="C25" s="154" t="s">
        <v>1135</v>
      </c>
      <c r="D25" s="154" t="s">
        <v>1136</v>
      </c>
      <c r="E25" s="155" t="s">
        <v>2089</v>
      </c>
      <c r="F25" s="155" t="s">
        <v>1136</v>
      </c>
      <c r="G25" s="154" t="s">
        <v>1566</v>
      </c>
      <c r="H25" s="154" t="s">
        <v>1567</v>
      </c>
      <c r="I25" s="189"/>
      <c r="J25" s="189"/>
      <c r="K25" s="178" t="s">
        <v>563</v>
      </c>
      <c r="L25" s="178" t="s">
        <v>564</v>
      </c>
      <c r="M25" s="189"/>
      <c r="N25" s="189"/>
    </row>
    <row r="26" spans="1:14" ht="24.6" thickBot="1" x14ac:dyDescent="0.35">
      <c r="B26" s="161">
        <v>2022</v>
      </c>
      <c r="C26" s="154" t="s">
        <v>1138</v>
      </c>
      <c r="D26" s="154" t="s">
        <v>1139</v>
      </c>
      <c r="E26" s="155" t="s">
        <v>2091</v>
      </c>
      <c r="F26" s="155" t="s">
        <v>1139</v>
      </c>
      <c r="G26" s="154" t="s">
        <v>1569</v>
      </c>
      <c r="H26" s="154" t="s">
        <v>1570</v>
      </c>
      <c r="I26" s="189"/>
      <c r="J26" s="189"/>
      <c r="K26" s="178" t="s">
        <v>575</v>
      </c>
      <c r="L26" s="178" t="s">
        <v>576</v>
      </c>
      <c r="M26" s="189"/>
      <c r="N26" s="189"/>
    </row>
    <row r="27" spans="1:14" ht="53.4" thickBot="1" x14ac:dyDescent="0.35">
      <c r="B27" s="185" t="s">
        <v>1491</v>
      </c>
      <c r="C27" s="154" t="s">
        <v>1142</v>
      </c>
      <c r="D27" s="154" t="s">
        <v>1143</v>
      </c>
      <c r="E27" s="155" t="s">
        <v>2093</v>
      </c>
      <c r="F27" s="155" t="s">
        <v>1143</v>
      </c>
      <c r="G27" s="154" t="s">
        <v>1572</v>
      </c>
      <c r="H27" s="154" t="s">
        <v>1573</v>
      </c>
      <c r="I27" s="189"/>
      <c r="J27" s="189"/>
      <c r="K27" s="178"/>
      <c r="L27" s="178"/>
      <c r="M27" s="189"/>
      <c r="N27" s="189"/>
    </row>
    <row r="28" spans="1:14" ht="15" thickBot="1" x14ac:dyDescent="0.35">
      <c r="B28" s="161" t="s">
        <v>333</v>
      </c>
      <c r="C28" s="162"/>
      <c r="D28" s="162"/>
      <c r="E28" s="163"/>
      <c r="F28" s="163"/>
      <c r="G28" s="162"/>
      <c r="H28" s="162"/>
      <c r="I28" s="190"/>
      <c r="J28" s="190"/>
      <c r="K28" s="179"/>
      <c r="L28" s="179"/>
      <c r="M28" s="190"/>
      <c r="N28" s="190"/>
    </row>
    <row r="29" spans="1:14" ht="24.6" thickBot="1" x14ac:dyDescent="0.35">
      <c r="B29" s="161" t="s">
        <v>334</v>
      </c>
      <c r="C29" s="154" t="s">
        <v>1146</v>
      </c>
      <c r="D29" s="154" t="s">
        <v>1147</v>
      </c>
      <c r="E29" s="155" t="s">
        <v>2095</v>
      </c>
      <c r="F29" s="155" t="s">
        <v>1147</v>
      </c>
      <c r="G29" s="154" t="s">
        <v>1575</v>
      </c>
      <c r="H29" s="154" t="s">
        <v>1576</v>
      </c>
      <c r="I29" s="189"/>
      <c r="J29" s="189"/>
      <c r="K29" s="178" t="s">
        <v>587</v>
      </c>
      <c r="L29" s="178" t="s">
        <v>588</v>
      </c>
      <c r="M29" s="189"/>
      <c r="N29" s="189"/>
    </row>
    <row r="30" spans="1:14" ht="24.6" thickBot="1" x14ac:dyDescent="0.35">
      <c r="B30" s="161" t="s">
        <v>335</v>
      </c>
      <c r="C30" s="154" t="s">
        <v>1149</v>
      </c>
      <c r="D30" s="154" t="s">
        <v>1150</v>
      </c>
      <c r="E30" s="155" t="s">
        <v>2097</v>
      </c>
      <c r="F30" s="155" t="s">
        <v>1150</v>
      </c>
      <c r="G30" s="154" t="s">
        <v>1578</v>
      </c>
      <c r="H30" s="154" t="s">
        <v>1579</v>
      </c>
      <c r="I30" s="189"/>
      <c r="J30" s="189"/>
      <c r="K30" s="178" t="s">
        <v>599</v>
      </c>
      <c r="L30" s="178" t="s">
        <v>600</v>
      </c>
      <c r="M30" s="189"/>
      <c r="N30" s="189"/>
    </row>
    <row r="31" spans="1:14" ht="24.6" thickBot="1" x14ac:dyDescent="0.35">
      <c r="B31" s="161" t="s">
        <v>336</v>
      </c>
      <c r="C31" s="154" t="s">
        <v>1152</v>
      </c>
      <c r="D31" s="154" t="s">
        <v>1153</v>
      </c>
      <c r="E31" s="155" t="s">
        <v>2099</v>
      </c>
      <c r="F31" s="155" t="s">
        <v>1153</v>
      </c>
      <c r="G31" s="154" t="s">
        <v>1581</v>
      </c>
      <c r="H31" s="154" t="s">
        <v>1582</v>
      </c>
      <c r="I31" s="189"/>
      <c r="J31" s="189"/>
      <c r="K31" s="178" t="s">
        <v>611</v>
      </c>
      <c r="L31" s="178" t="s">
        <v>612</v>
      </c>
      <c r="M31" s="189"/>
      <c r="N31" s="189"/>
    </row>
    <row r="32" spans="1:14" ht="24.6" thickBot="1" x14ac:dyDescent="0.35">
      <c r="B32" s="161" t="s">
        <v>337</v>
      </c>
      <c r="C32" s="154" t="s">
        <v>1156</v>
      </c>
      <c r="D32" s="154" t="s">
        <v>1157</v>
      </c>
      <c r="E32" s="155" t="s">
        <v>2101</v>
      </c>
      <c r="F32" s="155" t="s">
        <v>1157</v>
      </c>
      <c r="G32" s="154" t="s">
        <v>1584</v>
      </c>
      <c r="H32" s="154" t="s">
        <v>1585</v>
      </c>
      <c r="I32" s="189"/>
      <c r="J32" s="189"/>
      <c r="K32" s="178" t="s">
        <v>623</v>
      </c>
      <c r="L32" s="178" t="s">
        <v>624</v>
      </c>
      <c r="M32" s="189"/>
      <c r="N32" s="189"/>
    </row>
    <row r="33" spans="2:14" ht="27" thickBot="1" x14ac:dyDescent="0.35">
      <c r="B33" s="161" t="s">
        <v>338</v>
      </c>
      <c r="C33" s="162"/>
      <c r="D33" s="162"/>
      <c r="E33" s="163"/>
      <c r="F33" s="163"/>
      <c r="G33" s="162"/>
      <c r="H33" s="162"/>
      <c r="I33" s="190"/>
      <c r="J33" s="190"/>
      <c r="K33" s="179"/>
      <c r="L33" s="179"/>
      <c r="M33" s="190"/>
      <c r="N33" s="190"/>
    </row>
    <row r="34" spans="2:14" ht="24.6" thickBot="1" x14ac:dyDescent="0.35">
      <c r="B34" s="161" t="s">
        <v>339</v>
      </c>
      <c r="C34" s="154" t="s">
        <v>1160</v>
      </c>
      <c r="D34" s="154" t="s">
        <v>1161</v>
      </c>
      <c r="E34" s="155" t="s">
        <v>2103</v>
      </c>
      <c r="F34" s="155" t="s">
        <v>1161</v>
      </c>
      <c r="G34" s="154" t="s">
        <v>1587</v>
      </c>
      <c r="H34" s="154" t="s">
        <v>1588</v>
      </c>
      <c r="I34" s="189"/>
      <c r="J34" s="189"/>
      <c r="K34" s="178" t="s">
        <v>635</v>
      </c>
      <c r="L34" s="178" t="s">
        <v>636</v>
      </c>
      <c r="M34" s="189"/>
      <c r="N34" s="189"/>
    </row>
    <row r="35" spans="2:14" ht="24.6" thickBot="1" x14ac:dyDescent="0.35">
      <c r="B35" s="161" t="s">
        <v>340</v>
      </c>
      <c r="C35" s="154" t="s">
        <v>1163</v>
      </c>
      <c r="D35" s="154" t="s">
        <v>1164</v>
      </c>
      <c r="E35" s="155" t="s">
        <v>2105</v>
      </c>
      <c r="F35" s="155" t="s">
        <v>1164</v>
      </c>
      <c r="G35" s="154" t="s">
        <v>1590</v>
      </c>
      <c r="H35" s="154" t="s">
        <v>1591</v>
      </c>
      <c r="I35" s="189"/>
      <c r="J35" s="189"/>
      <c r="K35" s="178" t="s">
        <v>647</v>
      </c>
      <c r="L35" s="178" t="s">
        <v>648</v>
      </c>
      <c r="M35" s="189"/>
      <c r="N35" s="189"/>
    </row>
    <row r="36" spans="2:14" ht="24.6" thickBot="1" x14ac:dyDescent="0.35">
      <c r="B36" s="161" t="s">
        <v>337</v>
      </c>
      <c r="C36" s="154" t="s">
        <v>1166</v>
      </c>
      <c r="D36" s="154" t="s">
        <v>1167</v>
      </c>
      <c r="E36" s="155" t="s">
        <v>2107</v>
      </c>
      <c r="F36" s="155" t="s">
        <v>1167</v>
      </c>
      <c r="G36" s="154" t="s">
        <v>1593</v>
      </c>
      <c r="H36" s="154" t="s">
        <v>1594</v>
      </c>
      <c r="I36" s="189"/>
      <c r="J36" s="189"/>
      <c r="K36" s="178" t="s">
        <v>659</v>
      </c>
      <c r="L36" s="178" t="s">
        <v>660</v>
      </c>
      <c r="M36" s="189"/>
      <c r="N36" s="189"/>
    </row>
    <row r="37" spans="2:14" ht="24.6" thickBot="1" x14ac:dyDescent="0.35">
      <c r="B37" s="161" t="s">
        <v>341</v>
      </c>
      <c r="C37" s="154" t="s">
        <v>1169</v>
      </c>
      <c r="D37" s="154" t="s">
        <v>1170</v>
      </c>
      <c r="E37" s="155" t="s">
        <v>2109</v>
      </c>
      <c r="F37" s="155" t="s">
        <v>1170</v>
      </c>
      <c r="G37" s="154" t="s">
        <v>1596</v>
      </c>
      <c r="H37" s="154" t="s">
        <v>1597</v>
      </c>
      <c r="I37" s="189"/>
      <c r="J37" s="189"/>
      <c r="K37" s="178" t="s">
        <v>671</v>
      </c>
      <c r="L37" s="178" t="s">
        <v>672</v>
      </c>
      <c r="M37" s="189"/>
      <c r="N37" s="189"/>
    </row>
    <row r="38" spans="2:14" ht="15" thickBot="1" x14ac:dyDescent="0.35">
      <c r="B38" s="161" t="s">
        <v>342</v>
      </c>
      <c r="C38" s="162"/>
      <c r="D38" s="162"/>
      <c r="E38" s="163"/>
      <c r="F38" s="163"/>
      <c r="G38" s="162"/>
      <c r="H38" s="162"/>
      <c r="I38" s="190"/>
      <c r="J38" s="190"/>
      <c r="K38" s="179"/>
      <c r="L38" s="179"/>
      <c r="M38" s="190"/>
      <c r="N38" s="190"/>
    </row>
    <row r="39" spans="2:14" ht="24.6" thickBot="1" x14ac:dyDescent="0.35">
      <c r="B39" s="161" t="s">
        <v>340</v>
      </c>
      <c r="C39" s="154" t="s">
        <v>1173</v>
      </c>
      <c r="D39" s="154" t="s">
        <v>1174</v>
      </c>
      <c r="E39" s="155" t="s">
        <v>2111</v>
      </c>
      <c r="F39" s="155" t="s">
        <v>1174</v>
      </c>
      <c r="G39" s="154" t="s">
        <v>1599</v>
      </c>
      <c r="H39" s="154" t="s">
        <v>1600</v>
      </c>
      <c r="I39" s="189"/>
      <c r="J39" s="189"/>
      <c r="K39" s="178" t="s">
        <v>683</v>
      </c>
      <c r="L39" s="178" t="s">
        <v>684</v>
      </c>
      <c r="M39" s="189"/>
      <c r="N39" s="189"/>
    </row>
    <row r="40" spans="2:14" ht="24.6" thickBot="1" x14ac:dyDescent="0.35">
      <c r="B40" s="161" t="s">
        <v>339</v>
      </c>
      <c r="C40" s="154" t="s">
        <v>1176</v>
      </c>
      <c r="D40" s="154" t="s">
        <v>1177</v>
      </c>
      <c r="E40" s="155" t="s">
        <v>2113</v>
      </c>
      <c r="F40" s="155" t="s">
        <v>1177</v>
      </c>
      <c r="G40" s="154" t="s">
        <v>1602</v>
      </c>
      <c r="H40" s="154" t="s">
        <v>1603</v>
      </c>
      <c r="I40" s="189"/>
      <c r="J40" s="189"/>
      <c r="K40" s="178" t="s">
        <v>695</v>
      </c>
      <c r="L40" s="178" t="s">
        <v>696</v>
      </c>
      <c r="M40" s="189"/>
      <c r="N40" s="189"/>
    </row>
    <row r="41" spans="2:14" ht="24.6" thickBot="1" x14ac:dyDescent="0.35">
      <c r="B41" s="161" t="s">
        <v>337</v>
      </c>
      <c r="C41" s="154" t="s">
        <v>1179</v>
      </c>
      <c r="D41" s="154" t="s">
        <v>1180</v>
      </c>
      <c r="E41" s="155" t="s">
        <v>2115</v>
      </c>
      <c r="F41" s="155" t="s">
        <v>1180</v>
      </c>
      <c r="G41" s="154" t="s">
        <v>1605</v>
      </c>
      <c r="H41" s="154" t="s">
        <v>1606</v>
      </c>
      <c r="I41" s="189"/>
      <c r="J41" s="189"/>
      <c r="K41" s="178" t="s">
        <v>707</v>
      </c>
      <c r="L41" s="178" t="s">
        <v>708</v>
      </c>
      <c r="M41" s="189"/>
      <c r="N41" s="189"/>
    </row>
    <row r="42" spans="2:14" ht="24.6" thickBot="1" x14ac:dyDescent="0.35">
      <c r="B42" s="161" t="s">
        <v>341</v>
      </c>
      <c r="C42" s="154" t="s">
        <v>1182</v>
      </c>
      <c r="D42" s="154" t="s">
        <v>1183</v>
      </c>
      <c r="E42" s="155" t="s">
        <v>2117</v>
      </c>
      <c r="F42" s="155" t="s">
        <v>1183</v>
      </c>
      <c r="G42" s="154" t="s">
        <v>1608</v>
      </c>
      <c r="H42" s="154" t="s">
        <v>1609</v>
      </c>
      <c r="I42" s="189"/>
      <c r="J42" s="189"/>
      <c r="K42" s="178" t="s">
        <v>719</v>
      </c>
      <c r="L42" s="178" t="s">
        <v>720</v>
      </c>
      <c r="M42" s="189"/>
      <c r="N42" s="189"/>
    </row>
    <row r="43" spans="2:14" ht="27" thickBot="1" x14ac:dyDescent="0.35">
      <c r="B43" s="161" t="s">
        <v>343</v>
      </c>
      <c r="C43" s="162"/>
      <c r="D43" s="162"/>
      <c r="E43" s="163"/>
      <c r="F43" s="163"/>
      <c r="G43" s="162"/>
      <c r="H43" s="162"/>
      <c r="I43" s="190"/>
      <c r="J43" s="190"/>
      <c r="K43" s="179"/>
      <c r="L43" s="179"/>
      <c r="M43" s="190"/>
      <c r="N43" s="190"/>
    </row>
    <row r="44" spans="2:14" ht="40.200000000000003" thickBot="1" x14ac:dyDescent="0.35">
      <c r="B44" s="165" t="s">
        <v>344</v>
      </c>
      <c r="C44" s="154" t="s">
        <v>1187</v>
      </c>
      <c r="D44" s="154" t="s">
        <v>1188</v>
      </c>
      <c r="E44" s="155" t="s">
        <v>2119</v>
      </c>
      <c r="F44" s="155" t="s">
        <v>1188</v>
      </c>
      <c r="G44" s="154" t="s">
        <v>1611</v>
      </c>
      <c r="H44" s="154" t="s">
        <v>1612</v>
      </c>
      <c r="I44" s="189"/>
      <c r="J44" s="189"/>
      <c r="K44" s="178" t="s">
        <v>731</v>
      </c>
      <c r="L44" s="178" t="s">
        <v>732</v>
      </c>
      <c r="M44" s="189"/>
      <c r="N44" s="189"/>
    </row>
    <row r="45" spans="2:14" ht="40.200000000000003" thickBot="1" x14ac:dyDescent="0.35">
      <c r="B45" s="161" t="s">
        <v>345</v>
      </c>
      <c r="C45" s="154" t="s">
        <v>1191</v>
      </c>
      <c r="D45" s="154" t="s">
        <v>1192</v>
      </c>
      <c r="E45" s="155" t="s">
        <v>2121</v>
      </c>
      <c r="F45" s="155" t="s">
        <v>1192</v>
      </c>
      <c r="G45" s="154" t="s">
        <v>1614</v>
      </c>
      <c r="H45" s="154" t="s">
        <v>1615</v>
      </c>
      <c r="I45" s="189"/>
      <c r="J45" s="189"/>
      <c r="K45" s="178" t="s">
        <v>743</v>
      </c>
      <c r="L45" s="178" t="s">
        <v>744</v>
      </c>
      <c r="M45" s="189"/>
      <c r="N45" s="189"/>
    </row>
    <row r="46" spans="2:14" ht="40.200000000000003" thickBot="1" x14ac:dyDescent="0.35">
      <c r="B46" s="161" t="s">
        <v>346</v>
      </c>
      <c r="C46" s="154" t="s">
        <v>1195</v>
      </c>
      <c r="D46" s="154" t="s">
        <v>1196</v>
      </c>
      <c r="E46" s="155" t="s">
        <v>2123</v>
      </c>
      <c r="F46" s="155" t="s">
        <v>1196</v>
      </c>
      <c r="G46" s="154" t="s">
        <v>1617</v>
      </c>
      <c r="H46" s="154" t="s">
        <v>1618</v>
      </c>
      <c r="I46" s="189"/>
      <c r="J46" s="189"/>
      <c r="K46" s="178" t="s">
        <v>755</v>
      </c>
      <c r="L46" s="178" t="s">
        <v>756</v>
      </c>
      <c r="M46" s="189"/>
      <c r="N46" s="189"/>
    </row>
    <row r="47" spans="2:14" ht="27" thickBot="1" x14ac:dyDescent="0.35">
      <c r="B47" s="161" t="s">
        <v>347</v>
      </c>
      <c r="C47" s="154" t="s">
        <v>1198</v>
      </c>
      <c r="D47" s="154" t="s">
        <v>1199</v>
      </c>
      <c r="E47" s="155" t="s">
        <v>2125</v>
      </c>
      <c r="F47" s="155" t="s">
        <v>1199</v>
      </c>
      <c r="G47" s="154" t="s">
        <v>1620</v>
      </c>
      <c r="H47" s="154" t="s">
        <v>1621</v>
      </c>
      <c r="I47" s="189"/>
      <c r="J47" s="189"/>
      <c r="K47" s="178" t="s">
        <v>767</v>
      </c>
      <c r="L47" s="178" t="s">
        <v>768</v>
      </c>
      <c r="M47" s="189"/>
      <c r="N47" s="189"/>
    </row>
    <row r="48" spans="2:14" ht="27" thickBot="1" x14ac:dyDescent="0.35">
      <c r="B48" s="161" t="s">
        <v>771</v>
      </c>
      <c r="C48" s="166"/>
      <c r="D48" s="166"/>
      <c r="E48" s="163"/>
      <c r="F48" s="163"/>
      <c r="G48" s="162"/>
      <c r="H48" s="166"/>
      <c r="I48" s="190"/>
      <c r="J48" s="190"/>
      <c r="K48" s="179"/>
      <c r="L48" s="179"/>
      <c r="M48" s="190"/>
      <c r="N48" s="190"/>
    </row>
    <row r="49" spans="2:14" ht="27" thickBot="1" x14ac:dyDescent="0.35">
      <c r="B49" s="161" t="s">
        <v>349</v>
      </c>
      <c r="C49" s="154" t="s">
        <v>1202</v>
      </c>
      <c r="D49" s="154" t="s">
        <v>1203</v>
      </c>
      <c r="E49" s="155" t="s">
        <v>2127</v>
      </c>
      <c r="F49" s="155" t="s">
        <v>1203</v>
      </c>
      <c r="G49" s="154" t="s">
        <v>1623</v>
      </c>
      <c r="H49" s="154" t="s">
        <v>1624</v>
      </c>
      <c r="I49" s="189"/>
      <c r="J49" s="189"/>
      <c r="K49" s="178" t="s">
        <v>780</v>
      </c>
      <c r="L49" s="178" t="s">
        <v>781</v>
      </c>
      <c r="M49" s="189"/>
      <c r="N49" s="189"/>
    </row>
    <row r="50" spans="2:14" ht="27" thickBot="1" x14ac:dyDescent="0.35">
      <c r="B50" s="161" t="s">
        <v>350</v>
      </c>
      <c r="C50" s="154" t="s">
        <v>1206</v>
      </c>
      <c r="D50" s="154" t="s">
        <v>1207</v>
      </c>
      <c r="E50" s="155" t="s">
        <v>2129</v>
      </c>
      <c r="F50" s="155" t="s">
        <v>1207</v>
      </c>
      <c r="G50" s="154" t="s">
        <v>1626</v>
      </c>
      <c r="H50" s="154" t="s">
        <v>1627</v>
      </c>
      <c r="I50" s="189"/>
      <c r="J50" s="189"/>
      <c r="K50" s="178" t="s">
        <v>791</v>
      </c>
      <c r="L50" s="178" t="s">
        <v>792</v>
      </c>
      <c r="M50" s="189"/>
      <c r="N50" s="189"/>
    </row>
    <row r="51" spans="2:14" ht="40.200000000000003" thickBot="1" x14ac:dyDescent="0.35">
      <c r="B51" s="161" t="s">
        <v>351</v>
      </c>
      <c r="C51" s="154" t="s">
        <v>1210</v>
      </c>
      <c r="D51" s="154" t="s">
        <v>1211</v>
      </c>
      <c r="E51" s="155" t="s">
        <v>2131</v>
      </c>
      <c r="F51" s="155" t="s">
        <v>1211</v>
      </c>
      <c r="G51" s="154" t="s">
        <v>1629</v>
      </c>
      <c r="H51" s="154" t="s">
        <v>1630</v>
      </c>
      <c r="I51" s="189"/>
      <c r="J51" s="189"/>
      <c r="K51" s="178" t="s">
        <v>803</v>
      </c>
      <c r="L51" s="178" t="s">
        <v>804</v>
      </c>
      <c r="M51" s="189"/>
      <c r="N51" s="189"/>
    </row>
    <row r="52" spans="2:14" ht="53.4" thickBot="1" x14ac:dyDescent="0.35">
      <c r="B52" s="161" t="s">
        <v>352</v>
      </c>
      <c r="C52" s="154" t="s">
        <v>1214</v>
      </c>
      <c r="D52" s="154" t="s">
        <v>1215</v>
      </c>
      <c r="E52" s="155" t="s">
        <v>2133</v>
      </c>
      <c r="F52" s="155" t="s">
        <v>1215</v>
      </c>
      <c r="G52" s="154" t="s">
        <v>1632</v>
      </c>
      <c r="H52" s="154" t="s">
        <v>1633</v>
      </c>
      <c r="I52" s="189"/>
      <c r="J52" s="189"/>
      <c r="K52" s="178" t="s">
        <v>815</v>
      </c>
      <c r="L52" s="178" t="s">
        <v>816</v>
      </c>
      <c r="M52" s="189"/>
      <c r="N52" s="189"/>
    </row>
    <row r="53" spans="2:14" ht="66.599999999999994" thickBot="1" x14ac:dyDescent="0.35">
      <c r="B53" s="161" t="s">
        <v>353</v>
      </c>
      <c r="C53" s="154" t="s">
        <v>1218</v>
      </c>
      <c r="D53" s="154" t="s">
        <v>1219</v>
      </c>
      <c r="E53" s="155" t="s">
        <v>2135</v>
      </c>
      <c r="F53" s="155" t="s">
        <v>1219</v>
      </c>
      <c r="G53" s="154" t="s">
        <v>1635</v>
      </c>
      <c r="H53" s="154" t="s">
        <v>1636</v>
      </c>
      <c r="I53" s="189"/>
      <c r="J53" s="189"/>
      <c r="K53" s="178" t="s">
        <v>827</v>
      </c>
      <c r="L53" s="178" t="s">
        <v>828</v>
      </c>
      <c r="M53" s="189"/>
      <c r="N53" s="189"/>
    </row>
    <row r="54" spans="2:14" ht="53.4" thickBot="1" x14ac:dyDescent="0.35">
      <c r="B54" s="161" t="s">
        <v>354</v>
      </c>
      <c r="C54" s="154" t="s">
        <v>1222</v>
      </c>
      <c r="D54" s="154" t="s">
        <v>1223</v>
      </c>
      <c r="E54" s="155" t="s">
        <v>2137</v>
      </c>
      <c r="F54" s="155" t="s">
        <v>1223</v>
      </c>
      <c r="G54" s="154" t="s">
        <v>1638</v>
      </c>
      <c r="H54" s="154" t="s">
        <v>1639</v>
      </c>
      <c r="I54" s="189"/>
      <c r="J54" s="189"/>
      <c r="K54" s="178" t="s">
        <v>839</v>
      </c>
      <c r="L54" s="178" t="s">
        <v>840</v>
      </c>
      <c r="M54" s="189"/>
      <c r="N54" s="189"/>
    </row>
    <row r="55" spans="2:14" ht="27" thickBot="1" x14ac:dyDescent="0.35">
      <c r="B55" s="161" t="s">
        <v>355</v>
      </c>
      <c r="C55" s="166"/>
      <c r="D55" s="166"/>
      <c r="E55" s="167"/>
      <c r="F55" s="167"/>
      <c r="G55" s="162"/>
      <c r="H55" s="166"/>
      <c r="I55" s="192"/>
      <c r="J55" s="192"/>
      <c r="K55" s="179"/>
      <c r="L55" s="179"/>
      <c r="M55" s="192"/>
      <c r="N55" s="192"/>
    </row>
    <row r="56" spans="2:14" ht="24.6" thickBot="1" x14ac:dyDescent="0.35">
      <c r="B56" s="161" t="s">
        <v>356</v>
      </c>
      <c r="C56" s="154" t="s">
        <v>1226</v>
      </c>
      <c r="D56" s="154" t="s">
        <v>1227</v>
      </c>
      <c r="E56" s="155" t="s">
        <v>2139</v>
      </c>
      <c r="F56" s="155" t="s">
        <v>1227</v>
      </c>
      <c r="G56" s="154" t="s">
        <v>1641</v>
      </c>
      <c r="H56" s="154" t="s">
        <v>1642</v>
      </c>
      <c r="I56" s="189"/>
      <c r="J56" s="189"/>
      <c r="K56" s="178" t="s">
        <v>851</v>
      </c>
      <c r="L56" s="178" t="s">
        <v>852</v>
      </c>
      <c r="M56" s="189"/>
      <c r="N56" s="189"/>
    </row>
    <row r="57" spans="2:14" ht="24.6" thickBot="1" x14ac:dyDescent="0.35">
      <c r="B57" s="161" t="s">
        <v>325</v>
      </c>
      <c r="C57" s="154" t="s">
        <v>855</v>
      </c>
      <c r="D57" s="154" t="s">
        <v>1230</v>
      </c>
      <c r="E57" s="155" t="s">
        <v>855</v>
      </c>
      <c r="F57" s="155" t="s">
        <v>1230</v>
      </c>
      <c r="G57" s="154" t="s">
        <v>855</v>
      </c>
      <c r="H57" s="154" t="s">
        <v>1644</v>
      </c>
      <c r="I57" s="189"/>
      <c r="J57" s="189"/>
      <c r="K57" s="178" t="s">
        <v>855</v>
      </c>
      <c r="L57" s="178" t="s">
        <v>860</v>
      </c>
      <c r="M57" s="189"/>
      <c r="N57" s="189"/>
    </row>
    <row r="58" spans="2:14" ht="24.6" thickBot="1" x14ac:dyDescent="0.35">
      <c r="B58" s="161" t="s">
        <v>357</v>
      </c>
      <c r="C58" s="154" t="s">
        <v>1233</v>
      </c>
      <c r="D58" s="154" t="s">
        <v>1234</v>
      </c>
      <c r="E58" s="155" t="s">
        <v>2142</v>
      </c>
      <c r="F58" s="155" t="s">
        <v>1234</v>
      </c>
      <c r="G58" s="154" t="s">
        <v>1646</v>
      </c>
      <c r="H58" s="154" t="s">
        <v>1647</v>
      </c>
      <c r="I58" s="189"/>
      <c r="J58" s="189"/>
      <c r="K58" s="178" t="s">
        <v>870</v>
      </c>
      <c r="L58" s="178" t="s">
        <v>855</v>
      </c>
      <c r="M58" s="189"/>
      <c r="N58" s="189"/>
    </row>
    <row r="59" spans="2:14" ht="27" thickBot="1" x14ac:dyDescent="0.35">
      <c r="B59" s="161" t="s">
        <v>358</v>
      </c>
      <c r="C59" s="154" t="s">
        <v>1237</v>
      </c>
      <c r="D59" s="154" t="s">
        <v>1238</v>
      </c>
      <c r="E59" s="155" t="s">
        <v>2144</v>
      </c>
      <c r="F59" s="155" t="s">
        <v>1238</v>
      </c>
      <c r="G59" s="154" t="s">
        <v>1649</v>
      </c>
      <c r="H59" s="154" t="s">
        <v>1650</v>
      </c>
      <c r="I59" s="189"/>
      <c r="J59" s="189"/>
      <c r="K59" s="178" t="s">
        <v>880</v>
      </c>
      <c r="L59" s="178" t="s">
        <v>881</v>
      </c>
      <c r="M59" s="189"/>
      <c r="N59" s="189"/>
    </row>
    <row r="60" spans="2:14" ht="27" thickBot="1" x14ac:dyDescent="0.35">
      <c r="B60" s="161" t="s">
        <v>359</v>
      </c>
      <c r="C60" s="154" t="s">
        <v>1241</v>
      </c>
      <c r="D60" s="154" t="s">
        <v>1242</v>
      </c>
      <c r="E60" s="155" t="s">
        <v>2146</v>
      </c>
      <c r="F60" s="155" t="s">
        <v>1242</v>
      </c>
      <c r="G60" s="154" t="s">
        <v>1652</v>
      </c>
      <c r="H60" s="154" t="s">
        <v>1653</v>
      </c>
      <c r="I60" s="189"/>
      <c r="J60" s="189"/>
      <c r="K60" s="178" t="s">
        <v>892</v>
      </c>
      <c r="L60" s="178" t="s">
        <v>893</v>
      </c>
      <c r="M60" s="189"/>
      <c r="N60" s="189"/>
    </row>
    <row r="61" spans="2:14" ht="27" thickBot="1" x14ac:dyDescent="0.35">
      <c r="B61" s="161" t="s">
        <v>360</v>
      </c>
      <c r="C61" s="154" t="s">
        <v>1245</v>
      </c>
      <c r="D61" s="154" t="s">
        <v>1246</v>
      </c>
      <c r="E61" s="155" t="s">
        <v>2148</v>
      </c>
      <c r="F61" s="155" t="s">
        <v>1246</v>
      </c>
      <c r="G61" s="154" t="s">
        <v>1655</v>
      </c>
      <c r="H61" s="154" t="s">
        <v>1656</v>
      </c>
      <c r="I61" s="189"/>
      <c r="J61" s="189"/>
      <c r="K61" s="178" t="s">
        <v>904</v>
      </c>
      <c r="L61" s="178" t="s">
        <v>905</v>
      </c>
      <c r="M61" s="189"/>
      <c r="N61" s="189"/>
    </row>
    <row r="62" spans="2:14" ht="24.6" thickBot="1" x14ac:dyDescent="0.35">
      <c r="B62" s="161" t="s">
        <v>361</v>
      </c>
      <c r="C62" s="154" t="s">
        <v>1249</v>
      </c>
      <c r="D62" s="154" t="s">
        <v>1250</v>
      </c>
      <c r="E62" s="155" t="s">
        <v>2150</v>
      </c>
      <c r="F62" s="155" t="s">
        <v>1250</v>
      </c>
      <c r="G62" s="154" t="s">
        <v>1658</v>
      </c>
      <c r="H62" s="154" t="s">
        <v>1659</v>
      </c>
      <c r="I62" s="189"/>
      <c r="J62" s="189"/>
      <c r="K62" s="178" t="s">
        <v>916</v>
      </c>
      <c r="L62" s="178" t="s">
        <v>917</v>
      </c>
      <c r="M62" s="189"/>
      <c r="N62" s="189"/>
    </row>
    <row r="63" spans="2:14" ht="24.6" thickBot="1" x14ac:dyDescent="0.35">
      <c r="B63" s="161" t="s">
        <v>362</v>
      </c>
      <c r="C63" s="154" t="s">
        <v>1253</v>
      </c>
      <c r="D63" s="154" t="s">
        <v>1254</v>
      </c>
      <c r="E63" s="155" t="s">
        <v>2152</v>
      </c>
      <c r="F63" s="155" t="s">
        <v>1254</v>
      </c>
      <c r="G63" s="154" t="s">
        <v>1661</v>
      </c>
      <c r="H63" s="154" t="s">
        <v>1662</v>
      </c>
      <c r="I63" s="189"/>
      <c r="J63" s="189"/>
      <c r="K63" s="178" t="s">
        <v>928</v>
      </c>
      <c r="L63" s="178" t="s">
        <v>929</v>
      </c>
      <c r="M63" s="189"/>
      <c r="N63" s="189"/>
    </row>
    <row r="64" spans="2:14" ht="53.4" thickBot="1" x14ac:dyDescent="0.35">
      <c r="B64" s="161" t="s">
        <v>363</v>
      </c>
      <c r="C64" s="154" t="s">
        <v>1257</v>
      </c>
      <c r="D64" s="154" t="s">
        <v>1258</v>
      </c>
      <c r="E64" s="155" t="s">
        <v>2154</v>
      </c>
      <c r="F64" s="155" t="s">
        <v>1258</v>
      </c>
      <c r="G64" s="154" t="s">
        <v>1664</v>
      </c>
      <c r="H64" s="154" t="s">
        <v>1665</v>
      </c>
      <c r="I64" s="189"/>
      <c r="J64" s="189"/>
      <c r="K64" s="178" t="s">
        <v>940</v>
      </c>
      <c r="L64" s="178" t="s">
        <v>941</v>
      </c>
      <c r="M64" s="189"/>
      <c r="N64" s="189"/>
    </row>
    <row r="65" spans="2:14" ht="145.80000000000001" thickBot="1" x14ac:dyDescent="0.35">
      <c r="B65" s="161" t="s">
        <v>364</v>
      </c>
      <c r="C65" s="154" t="s">
        <v>1261</v>
      </c>
      <c r="D65" s="154" t="s">
        <v>1262</v>
      </c>
      <c r="E65" s="155" t="s">
        <v>1838</v>
      </c>
      <c r="F65" s="155" t="s">
        <v>1262</v>
      </c>
      <c r="G65" s="154" t="s">
        <v>1667</v>
      </c>
      <c r="H65" s="154" t="s">
        <v>948</v>
      </c>
      <c r="I65" s="189"/>
      <c r="J65" s="189"/>
      <c r="K65" s="178" t="s">
        <v>951</v>
      </c>
      <c r="L65" s="178" t="s">
        <v>952</v>
      </c>
      <c r="M65" s="189"/>
      <c r="N65" s="189"/>
    </row>
    <row r="66" spans="2:14" ht="24.6" thickBot="1" x14ac:dyDescent="0.35">
      <c r="B66" s="161" t="s">
        <v>365</v>
      </c>
      <c r="C66" s="154" t="s">
        <v>1265</v>
      </c>
      <c r="D66" s="154" t="s">
        <v>1266</v>
      </c>
      <c r="E66" s="155" t="s">
        <v>2157</v>
      </c>
      <c r="F66" s="155" t="s">
        <v>1266</v>
      </c>
      <c r="G66" s="154" t="s">
        <v>1669</v>
      </c>
      <c r="H66" s="154" t="s">
        <v>1670</v>
      </c>
      <c r="I66" s="189"/>
      <c r="J66" s="189"/>
      <c r="K66" s="178" t="s">
        <v>963</v>
      </c>
      <c r="L66" s="178" t="s">
        <v>964</v>
      </c>
      <c r="M66" s="189"/>
      <c r="N66" s="189"/>
    </row>
    <row r="67" spans="2:14" ht="24.6" thickBot="1" x14ac:dyDescent="0.35">
      <c r="B67" s="161" t="s">
        <v>366</v>
      </c>
      <c r="C67" s="154" t="s">
        <v>1269</v>
      </c>
      <c r="D67" s="154" t="s">
        <v>1270</v>
      </c>
      <c r="E67" s="155" t="s">
        <v>2159</v>
      </c>
      <c r="F67" s="155" t="s">
        <v>1270</v>
      </c>
      <c r="G67" s="154" t="s">
        <v>1672</v>
      </c>
      <c r="H67" s="154" t="s">
        <v>1673</v>
      </c>
      <c r="I67" s="189"/>
      <c r="J67" s="189"/>
      <c r="K67" s="178" t="s">
        <v>975</v>
      </c>
      <c r="L67" s="178" t="s">
        <v>976</v>
      </c>
      <c r="M67" s="189"/>
      <c r="N67" s="189"/>
    </row>
    <row r="68" spans="2:14" ht="40.200000000000003" thickBot="1" x14ac:dyDescent="0.35">
      <c r="B68" s="161" t="s">
        <v>367</v>
      </c>
      <c r="C68" s="154" t="s">
        <v>1273</v>
      </c>
      <c r="D68" s="154" t="s">
        <v>1274</v>
      </c>
      <c r="E68" s="155" t="s">
        <v>2161</v>
      </c>
      <c r="F68" s="155" t="s">
        <v>1274</v>
      </c>
      <c r="G68" s="154" t="s">
        <v>1675</v>
      </c>
      <c r="H68" s="154" t="s">
        <v>1676</v>
      </c>
      <c r="I68" s="189"/>
      <c r="J68" s="189"/>
      <c r="K68" s="178" t="s">
        <v>987</v>
      </c>
      <c r="L68" s="178" t="s">
        <v>988</v>
      </c>
      <c r="M68" s="189"/>
      <c r="N68" s="189"/>
    </row>
    <row r="69" spans="2:14" ht="27" thickBot="1" x14ac:dyDescent="0.35">
      <c r="B69" s="161" t="s">
        <v>368</v>
      </c>
      <c r="C69" s="154" t="s">
        <v>1277</v>
      </c>
      <c r="D69" s="154" t="s">
        <v>1278</v>
      </c>
      <c r="E69" s="155" t="s">
        <v>2163</v>
      </c>
      <c r="F69" s="155" t="s">
        <v>1278</v>
      </c>
      <c r="G69" s="154" t="s">
        <v>1678</v>
      </c>
      <c r="H69" s="154" t="s">
        <v>1679</v>
      </c>
      <c r="I69" s="189"/>
      <c r="J69" s="189"/>
      <c r="K69" s="178" t="s">
        <v>999</v>
      </c>
      <c r="L69" s="178" t="s">
        <v>1000</v>
      </c>
      <c r="M69" s="189"/>
      <c r="N69" s="189"/>
    </row>
    <row r="70" spans="2:14" ht="27" thickBot="1" x14ac:dyDescent="0.35">
      <c r="B70" s="161" t="s">
        <v>369</v>
      </c>
      <c r="C70" s="154" t="s">
        <v>1281</v>
      </c>
      <c r="D70" s="154" t="s">
        <v>1282</v>
      </c>
      <c r="E70" s="155" t="s">
        <v>2165</v>
      </c>
      <c r="F70" s="155" t="s">
        <v>1282</v>
      </c>
      <c r="G70" s="154" t="s">
        <v>1681</v>
      </c>
      <c r="H70" s="154" t="s">
        <v>1682</v>
      </c>
      <c r="I70" s="189"/>
      <c r="J70" s="189"/>
      <c r="K70" s="178" t="s">
        <v>1011</v>
      </c>
      <c r="L70" s="178" t="s">
        <v>1012</v>
      </c>
      <c r="M70" s="189"/>
      <c r="N70" s="189"/>
    </row>
    <row r="71" spans="2:14" ht="53.4" thickBot="1" x14ac:dyDescent="0.35">
      <c r="B71" s="161" t="s">
        <v>370</v>
      </c>
      <c r="C71" s="154" t="s">
        <v>1285</v>
      </c>
      <c r="D71" s="154" t="s">
        <v>1286</v>
      </c>
      <c r="E71" s="155" t="s">
        <v>2167</v>
      </c>
      <c r="F71" s="155" t="s">
        <v>1286</v>
      </c>
      <c r="G71" s="154" t="s">
        <v>1684</v>
      </c>
      <c r="H71" s="154" t="s">
        <v>1685</v>
      </c>
      <c r="I71" s="189"/>
      <c r="J71" s="189"/>
      <c r="K71" s="178" t="s">
        <v>1023</v>
      </c>
      <c r="L71" s="178" t="s">
        <v>1024</v>
      </c>
      <c r="M71" s="189"/>
      <c r="N71" s="189"/>
    </row>
    <row r="72" spans="2:14" ht="53.4" thickBot="1" x14ac:dyDescent="0.35">
      <c r="B72" s="161" t="s">
        <v>1027</v>
      </c>
      <c r="C72" s="162"/>
      <c r="D72" s="162"/>
      <c r="E72" s="163"/>
      <c r="F72" s="163"/>
      <c r="G72" s="162"/>
      <c r="H72" s="162"/>
      <c r="I72" s="190"/>
      <c r="J72" s="190"/>
      <c r="K72" s="179"/>
      <c r="L72" s="179"/>
      <c r="M72" s="190"/>
      <c r="N72" s="190"/>
    </row>
    <row r="73" spans="2:14" ht="24.6" thickBot="1" x14ac:dyDescent="0.35">
      <c r="B73" s="161" t="s">
        <v>372</v>
      </c>
      <c r="C73" s="154" t="s">
        <v>1289</v>
      </c>
      <c r="D73" s="154" t="s">
        <v>1290</v>
      </c>
      <c r="E73" s="155" t="s">
        <v>2169</v>
      </c>
      <c r="F73" s="155" t="s">
        <v>1290</v>
      </c>
      <c r="G73" s="154" t="s">
        <v>1687</v>
      </c>
      <c r="H73" s="154" t="s">
        <v>1688</v>
      </c>
      <c r="I73" s="189"/>
      <c r="J73" s="189"/>
      <c r="K73" s="178" t="s">
        <v>1036</v>
      </c>
      <c r="L73" s="178" t="s">
        <v>1037</v>
      </c>
      <c r="M73" s="189"/>
      <c r="N73" s="189"/>
    </row>
    <row r="74" spans="2:14" ht="27" thickBot="1" x14ac:dyDescent="0.35">
      <c r="B74" s="161" t="s">
        <v>373</v>
      </c>
      <c r="C74" s="154" t="s">
        <v>1265</v>
      </c>
      <c r="D74" s="154" t="s">
        <v>1293</v>
      </c>
      <c r="E74" s="155" t="s">
        <v>2171</v>
      </c>
      <c r="F74" s="155" t="s">
        <v>1293</v>
      </c>
      <c r="G74" s="154" t="s">
        <v>1690</v>
      </c>
      <c r="H74" s="154" t="s">
        <v>1691</v>
      </c>
      <c r="I74" s="189"/>
      <c r="J74" s="189"/>
      <c r="K74" s="178" t="s">
        <v>1047</v>
      </c>
      <c r="L74" s="178" t="s">
        <v>1048</v>
      </c>
      <c r="M74" s="189"/>
      <c r="N74" s="189"/>
    </row>
    <row r="75" spans="2:14" ht="40.200000000000003" thickBot="1" x14ac:dyDescent="0.35">
      <c r="B75" s="161" t="s">
        <v>374</v>
      </c>
      <c r="C75" s="154" t="s">
        <v>1296</v>
      </c>
      <c r="D75" s="154" t="s">
        <v>1297</v>
      </c>
      <c r="E75" s="155" t="s">
        <v>2173</v>
      </c>
      <c r="F75" s="155" t="s">
        <v>1297</v>
      </c>
      <c r="G75" s="154" t="s">
        <v>1693</v>
      </c>
      <c r="H75" s="154" t="s">
        <v>1694</v>
      </c>
      <c r="I75" s="189"/>
      <c r="J75" s="189"/>
      <c r="K75" s="178" t="s">
        <v>1056</v>
      </c>
      <c r="L75" s="178" t="s">
        <v>1057</v>
      </c>
      <c r="M75" s="189"/>
      <c r="N75" s="189"/>
    </row>
    <row r="76" spans="2:14" ht="40.200000000000003" thickBot="1" x14ac:dyDescent="0.35">
      <c r="B76" s="161" t="s">
        <v>375</v>
      </c>
      <c r="C76" s="154" t="s">
        <v>1300</v>
      </c>
      <c r="D76" s="154" t="s">
        <v>1301</v>
      </c>
      <c r="E76" s="155" t="s">
        <v>2175</v>
      </c>
      <c r="F76" s="155" t="s">
        <v>1301</v>
      </c>
      <c r="G76" s="154" t="s">
        <v>1696</v>
      </c>
      <c r="H76" s="154" t="s">
        <v>1697</v>
      </c>
      <c r="I76" s="189"/>
      <c r="J76" s="189"/>
      <c r="K76" s="178" t="s">
        <v>1066</v>
      </c>
      <c r="L76" s="178" t="s">
        <v>1067</v>
      </c>
      <c r="M76" s="189"/>
      <c r="N76" s="189"/>
    </row>
    <row r="77" spans="2:14" ht="53.4" thickBot="1" x14ac:dyDescent="0.35">
      <c r="B77" s="161" t="s">
        <v>376</v>
      </c>
      <c r="C77" s="154" t="s">
        <v>1304</v>
      </c>
      <c r="D77" s="154" t="s">
        <v>1305</v>
      </c>
      <c r="E77" s="155" t="s">
        <v>2047</v>
      </c>
      <c r="F77" s="155" t="s">
        <v>1305</v>
      </c>
      <c r="G77" s="154" t="s">
        <v>1699</v>
      </c>
      <c r="H77" s="154" t="s">
        <v>1700</v>
      </c>
      <c r="I77" s="189"/>
      <c r="J77" s="189"/>
      <c r="K77" s="178" t="s">
        <v>1076</v>
      </c>
      <c r="L77" s="178" t="s">
        <v>1077</v>
      </c>
      <c r="M77" s="189"/>
      <c r="N77" s="189"/>
    </row>
    <row r="78" spans="2:14" ht="39.6" x14ac:dyDescent="0.3">
      <c r="B78" s="193" t="s">
        <v>2180</v>
      </c>
      <c r="G78" t="s">
        <v>1702</v>
      </c>
      <c r="H78" t="s">
        <v>1703</v>
      </c>
    </row>
  </sheetData>
  <mergeCells count="9">
    <mergeCell ref="C4:F4"/>
    <mergeCell ref="G4:J4"/>
    <mergeCell ref="K4:N4"/>
    <mergeCell ref="C5:D5"/>
    <mergeCell ref="E5:F5"/>
    <mergeCell ref="G5:H5"/>
    <mergeCell ref="I5:J5"/>
    <mergeCell ref="K5:L5"/>
    <mergeCell ref="M5:N5"/>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58A58-7A9D-4A08-A8E7-606BE151C285}">
  <dimension ref="B1:S77"/>
  <sheetViews>
    <sheetView tabSelected="1" topLeftCell="B1" zoomScale="120" zoomScaleNormal="120" workbookViewId="0">
      <selection activeCell="C4" sqref="C4"/>
    </sheetView>
  </sheetViews>
  <sheetFormatPr defaultRowHeight="14.4" x14ac:dyDescent="0.3"/>
  <cols>
    <col min="2" max="2" width="24.33203125" customWidth="1"/>
  </cols>
  <sheetData>
    <row r="1" spans="2:19" ht="15" thickBot="1" x14ac:dyDescent="0.35">
      <c r="C1" t="s">
        <v>2055</v>
      </c>
      <c r="H1">
        <f>70451+92794</f>
        <v>163245</v>
      </c>
      <c r="J1">
        <f>31441+39010</f>
        <v>70451</v>
      </c>
    </row>
    <row r="2" spans="2:19" ht="15.75" customHeight="1" thickBot="1" x14ac:dyDescent="0.35">
      <c r="B2" s="287" t="s">
        <v>322</v>
      </c>
      <c r="C2" s="290" t="s">
        <v>323</v>
      </c>
      <c r="D2" s="291"/>
      <c r="E2" s="291"/>
      <c r="F2" s="291"/>
      <c r="G2" s="292"/>
      <c r="H2" s="293" t="s">
        <v>324</v>
      </c>
      <c r="I2" s="294"/>
      <c r="J2" s="294"/>
      <c r="K2" s="294"/>
      <c r="L2" s="295"/>
    </row>
    <row r="3" spans="2:19" ht="44.25" customHeight="1" x14ac:dyDescent="0.3">
      <c r="B3" s="288"/>
      <c r="C3" s="149" t="s">
        <v>325</v>
      </c>
      <c r="D3" s="149" t="s">
        <v>326</v>
      </c>
      <c r="E3" s="298" t="s">
        <v>327</v>
      </c>
      <c r="F3" s="149" t="s">
        <v>328</v>
      </c>
      <c r="G3" s="298" t="s">
        <v>329</v>
      </c>
      <c r="H3" s="151" t="s">
        <v>325</v>
      </c>
      <c r="I3" s="151" t="s">
        <v>326</v>
      </c>
      <c r="J3" s="287" t="s">
        <v>327</v>
      </c>
      <c r="K3" s="151" t="s">
        <v>328</v>
      </c>
      <c r="L3" s="287" t="s">
        <v>329</v>
      </c>
      <c r="N3" s="296" t="s">
        <v>322</v>
      </c>
      <c r="O3" s="168" t="s">
        <v>1078</v>
      </c>
      <c r="P3" s="168" t="s">
        <v>326</v>
      </c>
      <c r="Q3" s="296" t="s">
        <v>1081</v>
      </c>
      <c r="R3" s="168" t="s">
        <v>326</v>
      </c>
      <c r="S3" s="296" t="s">
        <v>1083</v>
      </c>
    </row>
    <row r="4" spans="2:19" ht="28.2" thickBot="1" x14ac:dyDescent="0.35">
      <c r="B4" s="289"/>
      <c r="C4" s="199" t="s">
        <v>1079</v>
      </c>
      <c r="D4" s="199" t="s">
        <v>1080</v>
      </c>
      <c r="E4" s="299"/>
      <c r="F4" s="150" t="s">
        <v>1082</v>
      </c>
      <c r="G4" s="299"/>
      <c r="H4" s="200" t="s">
        <v>2056</v>
      </c>
      <c r="I4" s="200" t="s">
        <v>1080</v>
      </c>
      <c r="J4" s="289"/>
      <c r="K4" s="152" t="s">
        <v>2057</v>
      </c>
      <c r="L4" s="289"/>
      <c r="N4" s="297"/>
      <c r="O4" s="169" t="s">
        <v>2056</v>
      </c>
      <c r="P4" s="169" t="s">
        <v>1080</v>
      </c>
      <c r="Q4" s="297"/>
      <c r="R4" s="169" t="s">
        <v>2057</v>
      </c>
      <c r="S4" s="297"/>
    </row>
    <row r="5" spans="2:19" ht="17.399999999999999" customHeight="1" thickBot="1" x14ac:dyDescent="0.35">
      <c r="B5" s="153" t="s">
        <v>330</v>
      </c>
      <c r="C5" s="154" t="s">
        <v>1085</v>
      </c>
      <c r="D5" s="154" t="s">
        <v>1086</v>
      </c>
      <c r="E5" s="154">
        <v>2.7E-2</v>
      </c>
      <c r="F5" s="154" t="s">
        <v>1087</v>
      </c>
      <c r="G5" s="154">
        <v>3.5999999999999997E-2</v>
      </c>
      <c r="H5" s="155" t="s">
        <v>2058</v>
      </c>
      <c r="I5" s="155" t="s">
        <v>1086</v>
      </c>
      <c r="J5" s="155">
        <v>3.9E-2</v>
      </c>
      <c r="K5" s="155" t="s">
        <v>2059</v>
      </c>
      <c r="L5" s="155">
        <v>2.8000000000000001E-2</v>
      </c>
      <c r="N5" s="170" t="s">
        <v>1084</v>
      </c>
      <c r="O5" s="170" t="s">
        <v>2058</v>
      </c>
      <c r="P5" s="170" t="s">
        <v>1086</v>
      </c>
      <c r="Q5" s="170">
        <v>3.9E-2</v>
      </c>
      <c r="R5" s="170" t="s">
        <v>2059</v>
      </c>
      <c r="S5" s="171">
        <v>2.8000000000000001E-2</v>
      </c>
    </row>
    <row r="6" spans="2:19" ht="36" customHeight="1" thickBot="1" x14ac:dyDescent="0.35">
      <c r="B6" s="153" t="s">
        <v>331</v>
      </c>
      <c r="C6" s="154" t="s">
        <v>1089</v>
      </c>
      <c r="D6" s="154" t="s">
        <v>1090</v>
      </c>
      <c r="E6" s="154">
        <v>1.2E-2</v>
      </c>
      <c r="F6" s="154" t="s">
        <v>1091</v>
      </c>
      <c r="G6" s="154">
        <v>1.2E-2</v>
      </c>
      <c r="H6" s="155" t="s">
        <v>2060</v>
      </c>
      <c r="I6" s="155" t="s">
        <v>1090</v>
      </c>
      <c r="J6" s="155">
        <v>0.01</v>
      </c>
      <c r="K6" s="155" t="s">
        <v>2061</v>
      </c>
      <c r="L6" s="155">
        <v>1.4E-2</v>
      </c>
      <c r="N6" s="170" t="s">
        <v>1088</v>
      </c>
      <c r="O6" s="170" t="s">
        <v>2060</v>
      </c>
      <c r="P6" s="170" t="s">
        <v>1090</v>
      </c>
      <c r="Q6" s="170">
        <v>0.01</v>
      </c>
      <c r="R6" s="170" t="s">
        <v>2061</v>
      </c>
      <c r="S6" s="171">
        <v>1.4E-2</v>
      </c>
    </row>
    <row r="7" spans="2:19" ht="27" thickBot="1" x14ac:dyDescent="0.35">
      <c r="B7" s="153" t="s">
        <v>332</v>
      </c>
      <c r="C7" s="154"/>
      <c r="D7" s="154"/>
      <c r="E7" s="154"/>
      <c r="F7" s="154"/>
      <c r="G7" s="154"/>
      <c r="H7" s="155"/>
      <c r="I7" s="155"/>
      <c r="J7" s="155"/>
      <c r="K7" s="155"/>
      <c r="L7" s="155"/>
      <c r="N7" s="172" t="s">
        <v>1092</v>
      </c>
      <c r="O7" s="170"/>
      <c r="P7" s="170"/>
      <c r="Q7" s="170"/>
      <c r="R7" s="170"/>
      <c r="S7" s="171"/>
    </row>
    <row r="8" spans="2:19" ht="27" thickBot="1" x14ac:dyDescent="0.35">
      <c r="B8" s="153">
        <v>2007</v>
      </c>
      <c r="C8" s="154" t="s">
        <v>1093</v>
      </c>
      <c r="D8" s="154" t="s">
        <v>1094</v>
      </c>
      <c r="E8" s="154">
        <v>0.47199999999999998</v>
      </c>
      <c r="F8" s="154" t="s">
        <v>1095</v>
      </c>
      <c r="G8" s="154">
        <v>1E-3</v>
      </c>
      <c r="H8" s="155" t="s">
        <v>2062</v>
      </c>
      <c r="I8" s="155" t="s">
        <v>1094</v>
      </c>
      <c r="J8" s="155">
        <v>0.48</v>
      </c>
      <c r="K8" s="155" t="s">
        <v>2062</v>
      </c>
      <c r="L8" s="155">
        <v>1E-3</v>
      </c>
      <c r="N8" s="170">
        <v>2007</v>
      </c>
      <c r="O8" s="170" t="s">
        <v>2062</v>
      </c>
      <c r="P8" s="170" t="s">
        <v>1094</v>
      </c>
      <c r="Q8" s="170">
        <v>0.48</v>
      </c>
      <c r="R8" s="170" t="s">
        <v>2062</v>
      </c>
      <c r="S8" s="171">
        <v>1E-3</v>
      </c>
    </row>
    <row r="9" spans="2:19" ht="27" thickBot="1" x14ac:dyDescent="0.35">
      <c r="B9" s="153">
        <v>2008</v>
      </c>
      <c r="C9" s="154" t="s">
        <v>1096</v>
      </c>
      <c r="D9" s="154" t="s">
        <v>1097</v>
      </c>
      <c r="E9" s="154">
        <v>0.40899999999999997</v>
      </c>
      <c r="F9" s="154" t="s">
        <v>1098</v>
      </c>
      <c r="G9" s="154">
        <v>1E-3</v>
      </c>
      <c r="H9" s="155" t="s">
        <v>2063</v>
      </c>
      <c r="I9" s="155" t="s">
        <v>1097</v>
      </c>
      <c r="J9" s="155">
        <v>0.42099999999999999</v>
      </c>
      <c r="K9" s="155" t="s">
        <v>2064</v>
      </c>
      <c r="L9" s="155">
        <v>1E-3</v>
      </c>
      <c r="N9" s="170">
        <v>2008</v>
      </c>
      <c r="O9" s="170" t="s">
        <v>2063</v>
      </c>
      <c r="P9" s="170" t="s">
        <v>1097</v>
      </c>
      <c r="Q9" s="170">
        <v>0.42099999999999999</v>
      </c>
      <c r="R9" s="170" t="s">
        <v>2064</v>
      </c>
      <c r="S9" s="171">
        <v>1E-3</v>
      </c>
    </row>
    <row r="10" spans="2:19" ht="27" thickBot="1" x14ac:dyDescent="0.35">
      <c r="B10" s="153">
        <v>2009</v>
      </c>
      <c r="C10" s="154" t="s">
        <v>1099</v>
      </c>
      <c r="D10" s="154" t="s">
        <v>1100</v>
      </c>
      <c r="E10" s="154">
        <v>0.28699999999999998</v>
      </c>
      <c r="F10" s="154" t="s">
        <v>1101</v>
      </c>
      <c r="G10" s="154">
        <v>2E-3</v>
      </c>
      <c r="H10" s="155" t="s">
        <v>2065</v>
      </c>
      <c r="I10" s="155" t="s">
        <v>1100</v>
      </c>
      <c r="J10" s="155">
        <v>0.27600000000000002</v>
      </c>
      <c r="K10" s="155" t="s">
        <v>2066</v>
      </c>
      <c r="L10" s="155">
        <v>1E-3</v>
      </c>
      <c r="N10" s="170">
        <v>2009</v>
      </c>
      <c r="O10" s="170" t="s">
        <v>2065</v>
      </c>
      <c r="P10" s="170" t="s">
        <v>1100</v>
      </c>
      <c r="Q10" s="170">
        <v>0.27600000000000002</v>
      </c>
      <c r="R10" s="170" t="s">
        <v>2066</v>
      </c>
      <c r="S10" s="171">
        <v>1E-3</v>
      </c>
    </row>
    <row r="11" spans="2:19" ht="27" thickBot="1" x14ac:dyDescent="0.35">
      <c r="B11" s="153">
        <v>2010</v>
      </c>
      <c r="C11" s="154" t="s">
        <v>1102</v>
      </c>
      <c r="D11" s="154" t="s">
        <v>1103</v>
      </c>
      <c r="E11" s="154">
        <v>7.6999999999999999E-2</v>
      </c>
      <c r="F11" s="154" t="s">
        <v>1104</v>
      </c>
      <c r="G11" s="154">
        <v>4.0000000000000001E-3</v>
      </c>
      <c r="H11" s="155" t="s">
        <v>2067</v>
      </c>
      <c r="I11" s="155" t="s">
        <v>1103</v>
      </c>
      <c r="J11" s="155">
        <v>0.06</v>
      </c>
      <c r="K11" s="155" t="s">
        <v>2068</v>
      </c>
      <c r="L11" s="155">
        <v>3.0000000000000001E-3</v>
      </c>
      <c r="N11" s="170">
        <v>2010</v>
      </c>
      <c r="O11" s="170" t="s">
        <v>2067</v>
      </c>
      <c r="P11" s="170" t="s">
        <v>1103</v>
      </c>
      <c r="Q11" s="170">
        <v>0.06</v>
      </c>
      <c r="R11" s="170" t="s">
        <v>2068</v>
      </c>
      <c r="S11" s="171">
        <v>3.0000000000000001E-3</v>
      </c>
    </row>
    <row r="12" spans="2:19" ht="27" thickBot="1" x14ac:dyDescent="0.35">
      <c r="B12" s="153">
        <v>2011</v>
      </c>
      <c r="C12" s="154" t="s">
        <v>1105</v>
      </c>
      <c r="D12" s="154" t="s">
        <v>1106</v>
      </c>
      <c r="E12" s="154">
        <v>7.0999999999999994E-2</v>
      </c>
      <c r="F12" s="154" t="s">
        <v>1107</v>
      </c>
      <c r="G12" s="154">
        <v>1E-3</v>
      </c>
      <c r="H12" s="155" t="s">
        <v>2069</v>
      </c>
      <c r="I12" s="155" t="s">
        <v>1106</v>
      </c>
      <c r="J12" s="155">
        <v>3.5999999999999997E-2</v>
      </c>
      <c r="K12" s="155" t="s">
        <v>2070</v>
      </c>
      <c r="L12" s="155">
        <v>0</v>
      </c>
      <c r="N12" s="170">
        <v>2011</v>
      </c>
      <c r="O12" s="170" t="s">
        <v>2069</v>
      </c>
      <c r="P12" s="170" t="s">
        <v>1106</v>
      </c>
      <c r="Q12" s="170">
        <v>3.5999999999999997E-2</v>
      </c>
      <c r="R12" s="170" t="s">
        <v>2070</v>
      </c>
      <c r="S12" s="171">
        <v>0</v>
      </c>
    </row>
    <row r="13" spans="2:19" ht="27" thickBot="1" x14ac:dyDescent="0.35">
      <c r="B13" s="153">
        <v>2012</v>
      </c>
      <c r="C13" s="154" t="s">
        <v>1108</v>
      </c>
      <c r="D13" s="154" t="s">
        <v>1109</v>
      </c>
      <c r="E13" s="154">
        <v>1.2E-2</v>
      </c>
      <c r="F13" s="154" t="s">
        <v>1110</v>
      </c>
      <c r="G13" s="154">
        <v>0</v>
      </c>
      <c r="H13" s="155" t="s">
        <v>2071</v>
      </c>
      <c r="I13" s="155" t="s">
        <v>1109</v>
      </c>
      <c r="J13" s="155">
        <v>0.05</v>
      </c>
      <c r="K13" s="155" t="s">
        <v>2072</v>
      </c>
      <c r="L13" s="155">
        <v>1E-3</v>
      </c>
      <c r="N13" s="170">
        <v>2012</v>
      </c>
      <c r="O13" s="170" t="s">
        <v>2071</v>
      </c>
      <c r="P13" s="170" t="s">
        <v>1109</v>
      </c>
      <c r="Q13" s="170">
        <v>0.05</v>
      </c>
      <c r="R13" s="170" t="s">
        <v>2072</v>
      </c>
      <c r="S13" s="171">
        <v>1E-3</v>
      </c>
    </row>
    <row r="14" spans="2:19" ht="27" thickBot="1" x14ac:dyDescent="0.35">
      <c r="B14" s="153">
        <v>2013</v>
      </c>
      <c r="C14" s="154" t="s">
        <v>1111</v>
      </c>
      <c r="D14" s="154" t="s">
        <v>1112</v>
      </c>
      <c r="E14" s="154">
        <v>2.1999999999999999E-2</v>
      </c>
      <c r="F14" s="154" t="s">
        <v>1113</v>
      </c>
      <c r="G14" s="154">
        <v>0</v>
      </c>
      <c r="H14" s="155" t="s">
        <v>2073</v>
      </c>
      <c r="I14" s="155" t="s">
        <v>1112</v>
      </c>
      <c r="J14" s="155">
        <v>5.7000000000000002E-2</v>
      </c>
      <c r="K14" s="155" t="s">
        <v>2074</v>
      </c>
      <c r="L14" s="155">
        <v>1E-3</v>
      </c>
      <c r="N14" s="170">
        <v>2013</v>
      </c>
      <c r="O14" s="170" t="s">
        <v>2073</v>
      </c>
      <c r="P14" s="170" t="s">
        <v>1112</v>
      </c>
      <c r="Q14" s="170">
        <v>5.7000000000000002E-2</v>
      </c>
      <c r="R14" s="170" t="s">
        <v>2074</v>
      </c>
      <c r="S14" s="171">
        <v>1E-3</v>
      </c>
    </row>
    <row r="15" spans="2:19" ht="27" thickBot="1" x14ac:dyDescent="0.35">
      <c r="B15" s="153">
        <v>2014</v>
      </c>
      <c r="C15" s="154" t="s">
        <v>1114</v>
      </c>
      <c r="D15" s="154" t="s">
        <v>1115</v>
      </c>
      <c r="E15" s="154">
        <v>8.4000000000000005E-2</v>
      </c>
      <c r="F15" s="154" t="s">
        <v>1116</v>
      </c>
      <c r="G15" s="154">
        <v>2E-3</v>
      </c>
      <c r="H15" s="155" t="s">
        <v>2075</v>
      </c>
      <c r="I15" s="155" t="s">
        <v>1115</v>
      </c>
      <c r="J15" s="155">
        <v>0.115</v>
      </c>
      <c r="K15" s="155" t="s">
        <v>2076</v>
      </c>
      <c r="L15" s="155">
        <v>1E-3</v>
      </c>
      <c r="N15" s="170">
        <v>2014</v>
      </c>
      <c r="O15" s="170" t="s">
        <v>2075</v>
      </c>
      <c r="P15" s="170" t="s">
        <v>1115</v>
      </c>
      <c r="Q15" s="170">
        <v>0.115</v>
      </c>
      <c r="R15" s="170" t="s">
        <v>2076</v>
      </c>
      <c r="S15" s="171">
        <v>1E-3</v>
      </c>
    </row>
    <row r="16" spans="2:19" ht="27" thickBot="1" x14ac:dyDescent="0.35">
      <c r="B16" s="153">
        <v>2015</v>
      </c>
      <c r="C16" s="154" t="s">
        <v>1117</v>
      </c>
      <c r="D16" s="154" t="s">
        <v>1118</v>
      </c>
      <c r="E16" s="154">
        <v>0.14699999999999999</v>
      </c>
      <c r="F16" s="154" t="s">
        <v>1119</v>
      </c>
      <c r="G16" s="154">
        <v>0</v>
      </c>
      <c r="H16" s="155" t="s">
        <v>2077</v>
      </c>
      <c r="I16" s="155" t="s">
        <v>1118</v>
      </c>
      <c r="J16" s="155">
        <v>0.16200000000000001</v>
      </c>
      <c r="K16" s="155" t="s">
        <v>2078</v>
      </c>
      <c r="L16" s="155">
        <v>2E-3</v>
      </c>
      <c r="N16" s="170">
        <v>2015</v>
      </c>
      <c r="O16" s="170" t="s">
        <v>2077</v>
      </c>
      <c r="P16" s="170" t="s">
        <v>1118</v>
      </c>
      <c r="Q16" s="170">
        <v>0.16200000000000001</v>
      </c>
      <c r="R16" s="170" t="s">
        <v>2078</v>
      </c>
      <c r="S16" s="171">
        <v>2E-3</v>
      </c>
    </row>
    <row r="17" spans="2:19" ht="27" thickBot="1" x14ac:dyDescent="0.35">
      <c r="B17" s="153">
        <v>2016</v>
      </c>
      <c r="C17" s="154" t="s">
        <v>1120</v>
      </c>
      <c r="D17" s="154" t="s">
        <v>1121</v>
      </c>
      <c r="E17" s="154">
        <v>0.18</v>
      </c>
      <c r="F17" s="154" t="s">
        <v>1122</v>
      </c>
      <c r="G17" s="154">
        <v>3.0000000000000001E-3</v>
      </c>
      <c r="H17" s="155" t="s">
        <v>2079</v>
      </c>
      <c r="I17" s="155" t="s">
        <v>1121</v>
      </c>
      <c r="J17" s="155">
        <v>0.17799999999999999</v>
      </c>
      <c r="K17" s="155" t="s">
        <v>2080</v>
      </c>
      <c r="L17" s="155">
        <v>2E-3</v>
      </c>
      <c r="N17" s="170">
        <v>2016</v>
      </c>
      <c r="O17" s="170" t="s">
        <v>2079</v>
      </c>
      <c r="P17" s="170" t="s">
        <v>1121</v>
      </c>
      <c r="Q17" s="170">
        <v>0.17799999999999999</v>
      </c>
      <c r="R17" s="170" t="s">
        <v>2080</v>
      </c>
      <c r="S17" s="171">
        <v>2E-3</v>
      </c>
    </row>
    <row r="18" spans="2:19" ht="27" thickBot="1" x14ac:dyDescent="0.35">
      <c r="B18" s="153">
        <v>2017</v>
      </c>
      <c r="C18" s="154" t="s">
        <v>1123</v>
      </c>
      <c r="D18" s="154" t="s">
        <v>1124</v>
      </c>
      <c r="E18" s="154">
        <v>0.20200000000000001</v>
      </c>
      <c r="F18" s="154" t="s">
        <v>1125</v>
      </c>
      <c r="G18" s="154">
        <v>3.0000000000000001E-3</v>
      </c>
      <c r="H18" s="155" t="s">
        <v>2081</v>
      </c>
      <c r="I18" s="155" t="s">
        <v>1124</v>
      </c>
      <c r="J18" s="155">
        <v>0.186</v>
      </c>
      <c r="K18" s="155" t="s">
        <v>2082</v>
      </c>
      <c r="L18" s="155">
        <v>1E-3</v>
      </c>
      <c r="N18" s="170">
        <v>2017</v>
      </c>
      <c r="O18" s="170" t="s">
        <v>2081</v>
      </c>
      <c r="P18" s="170" t="s">
        <v>1124</v>
      </c>
      <c r="Q18" s="170">
        <v>0.186</v>
      </c>
      <c r="R18" s="170" t="s">
        <v>2082</v>
      </c>
      <c r="S18" s="171">
        <v>1E-3</v>
      </c>
    </row>
    <row r="19" spans="2:19" ht="27" thickBot="1" x14ac:dyDescent="0.35">
      <c r="B19" s="153">
        <v>2018</v>
      </c>
      <c r="C19" s="154" t="s">
        <v>1126</v>
      </c>
      <c r="D19" s="154" t="s">
        <v>1127</v>
      </c>
      <c r="E19" s="154">
        <v>0.23100000000000001</v>
      </c>
      <c r="F19" s="154" t="s">
        <v>1128</v>
      </c>
      <c r="G19" s="154">
        <v>8.9999999999999993E-3</v>
      </c>
      <c r="H19" s="155" t="s">
        <v>2083</v>
      </c>
      <c r="I19" s="155" t="s">
        <v>1127</v>
      </c>
      <c r="J19" s="155">
        <v>0.20499999999999999</v>
      </c>
      <c r="K19" s="155" t="s">
        <v>2084</v>
      </c>
      <c r="L19" s="155">
        <v>7.0000000000000001E-3</v>
      </c>
      <c r="N19" s="170">
        <v>2018</v>
      </c>
      <c r="O19" s="170" t="s">
        <v>2083</v>
      </c>
      <c r="P19" s="170" t="s">
        <v>1127</v>
      </c>
      <c r="Q19" s="170">
        <v>0.20499999999999999</v>
      </c>
      <c r="R19" s="170" t="s">
        <v>2084</v>
      </c>
      <c r="S19" s="171">
        <v>7.0000000000000001E-3</v>
      </c>
    </row>
    <row r="20" spans="2:19" ht="27" thickBot="1" x14ac:dyDescent="0.35">
      <c r="B20" s="153">
        <v>2019</v>
      </c>
      <c r="C20" s="154" t="s">
        <v>1129</v>
      </c>
      <c r="D20" s="154" t="s">
        <v>1130</v>
      </c>
      <c r="E20" s="154">
        <v>0.23</v>
      </c>
      <c r="F20" s="154" t="s">
        <v>1131</v>
      </c>
      <c r="G20" s="154">
        <v>2E-3</v>
      </c>
      <c r="H20" s="155" t="s">
        <v>2085</v>
      </c>
      <c r="I20" s="155" t="s">
        <v>1130</v>
      </c>
      <c r="J20" s="155">
        <v>0.192</v>
      </c>
      <c r="K20" s="155" t="s">
        <v>2086</v>
      </c>
      <c r="L20" s="155">
        <v>0</v>
      </c>
      <c r="N20" s="170">
        <v>2019</v>
      </c>
      <c r="O20" s="170" t="s">
        <v>2085</v>
      </c>
      <c r="P20" s="170" t="s">
        <v>1130</v>
      </c>
      <c r="Q20" s="170">
        <v>0.192</v>
      </c>
      <c r="R20" s="170" t="s">
        <v>2086</v>
      </c>
      <c r="S20" s="171">
        <v>0</v>
      </c>
    </row>
    <row r="21" spans="2:19" ht="27" thickBot="1" x14ac:dyDescent="0.35">
      <c r="B21" s="153">
        <v>2020</v>
      </c>
      <c r="C21" s="154" t="s">
        <v>1132</v>
      </c>
      <c r="D21" s="154" t="s">
        <v>1133</v>
      </c>
      <c r="E21" s="154">
        <v>0.152</v>
      </c>
      <c r="F21" s="154" t="s">
        <v>1134</v>
      </c>
      <c r="G21" s="154">
        <v>2E-3</v>
      </c>
      <c r="H21" s="155" t="s">
        <v>2087</v>
      </c>
      <c r="I21" s="155" t="s">
        <v>1133</v>
      </c>
      <c r="J21" s="155">
        <v>0.112</v>
      </c>
      <c r="K21" s="155" t="s">
        <v>2088</v>
      </c>
      <c r="L21" s="155">
        <v>2E-3</v>
      </c>
      <c r="N21" s="170">
        <v>2020</v>
      </c>
      <c r="O21" s="170" t="s">
        <v>2087</v>
      </c>
      <c r="P21" s="170" t="s">
        <v>1133</v>
      </c>
      <c r="Q21" s="170">
        <v>0.112</v>
      </c>
      <c r="R21" s="170" t="s">
        <v>2088</v>
      </c>
      <c r="S21" s="171">
        <v>2E-3</v>
      </c>
    </row>
    <row r="22" spans="2:19" ht="27" thickBot="1" x14ac:dyDescent="0.35">
      <c r="B22" s="153">
        <v>2021</v>
      </c>
      <c r="C22" s="154" t="s">
        <v>1135</v>
      </c>
      <c r="D22" s="154" t="s">
        <v>1136</v>
      </c>
      <c r="E22" s="154">
        <v>0.14299999999999999</v>
      </c>
      <c r="F22" s="154" t="s">
        <v>1137</v>
      </c>
      <c r="G22" s="154">
        <v>1E-3</v>
      </c>
      <c r="H22" s="155" t="s">
        <v>2089</v>
      </c>
      <c r="I22" s="155" t="s">
        <v>1136</v>
      </c>
      <c r="J22" s="155">
        <v>0.1</v>
      </c>
      <c r="K22" s="155" t="s">
        <v>2090</v>
      </c>
      <c r="L22" s="155">
        <v>1E-3</v>
      </c>
      <c r="N22" s="170">
        <v>2021</v>
      </c>
      <c r="O22" s="170" t="s">
        <v>2089</v>
      </c>
      <c r="P22" s="170" t="s">
        <v>1136</v>
      </c>
      <c r="Q22" s="170">
        <v>0.1</v>
      </c>
      <c r="R22" s="170" t="s">
        <v>2090</v>
      </c>
      <c r="S22" s="171">
        <v>1E-3</v>
      </c>
    </row>
    <row r="23" spans="2:19" ht="27" thickBot="1" x14ac:dyDescent="0.35">
      <c r="B23" s="153">
        <v>2022</v>
      </c>
      <c r="C23" s="154" t="s">
        <v>1138</v>
      </c>
      <c r="D23" s="154" t="s">
        <v>1139</v>
      </c>
      <c r="E23" s="154">
        <v>0.113</v>
      </c>
      <c r="F23" s="154" t="s">
        <v>1140</v>
      </c>
      <c r="G23" s="154">
        <v>1E-3</v>
      </c>
      <c r="H23" s="155" t="s">
        <v>2091</v>
      </c>
      <c r="I23" s="155" t="s">
        <v>1139</v>
      </c>
      <c r="J23" s="155">
        <v>7.5999999999999998E-2</v>
      </c>
      <c r="K23" s="155" t="s">
        <v>2092</v>
      </c>
      <c r="L23" s="155">
        <v>0</v>
      </c>
      <c r="N23" s="170">
        <v>2022</v>
      </c>
      <c r="O23" s="170" t="s">
        <v>2091</v>
      </c>
      <c r="P23" s="170" t="s">
        <v>1139</v>
      </c>
      <c r="Q23" s="170">
        <v>7.5999999999999998E-2</v>
      </c>
      <c r="R23" s="170" t="s">
        <v>2092</v>
      </c>
      <c r="S23" s="171">
        <v>0</v>
      </c>
    </row>
    <row r="24" spans="2:19" ht="40.200000000000003" thickBot="1" x14ac:dyDescent="0.35">
      <c r="B24" s="153" t="s">
        <v>1491</v>
      </c>
      <c r="C24" s="154" t="s">
        <v>1142</v>
      </c>
      <c r="D24" s="154" t="s">
        <v>1143</v>
      </c>
      <c r="E24" s="154">
        <v>5.7000000000000002E-2</v>
      </c>
      <c r="F24" s="154" t="s">
        <v>1144</v>
      </c>
      <c r="G24" s="154">
        <v>5.5E-2</v>
      </c>
      <c r="H24" s="155" t="s">
        <v>2093</v>
      </c>
      <c r="I24" s="155" t="s">
        <v>1143</v>
      </c>
      <c r="J24" s="155">
        <v>0.06</v>
      </c>
      <c r="K24" s="155" t="s">
        <v>2094</v>
      </c>
      <c r="L24" s="155">
        <v>6.8000000000000005E-2</v>
      </c>
      <c r="N24" s="170" t="s">
        <v>1141</v>
      </c>
      <c r="O24" s="170" t="s">
        <v>2093</v>
      </c>
      <c r="P24" s="170" t="s">
        <v>1143</v>
      </c>
      <c r="Q24" s="170">
        <v>0.06</v>
      </c>
      <c r="R24" s="170" t="s">
        <v>2094</v>
      </c>
      <c r="S24" s="171">
        <v>6.8000000000000005E-2</v>
      </c>
    </row>
    <row r="25" spans="2:19" ht="27" thickBot="1" x14ac:dyDescent="0.35">
      <c r="B25" s="153" t="s">
        <v>333</v>
      </c>
      <c r="C25" s="154"/>
      <c r="D25" s="154"/>
      <c r="E25" s="154"/>
      <c r="F25" s="154"/>
      <c r="G25" s="154"/>
      <c r="H25" s="155"/>
      <c r="I25" s="155"/>
      <c r="J25" s="155"/>
      <c r="K25" s="155"/>
      <c r="L25" s="155"/>
      <c r="N25" s="172" t="s">
        <v>1145</v>
      </c>
      <c r="O25" s="170"/>
      <c r="P25" s="170"/>
      <c r="Q25" s="170"/>
      <c r="R25" s="170"/>
      <c r="S25" s="171"/>
    </row>
    <row r="26" spans="2:19" ht="27" thickBot="1" x14ac:dyDescent="0.35">
      <c r="B26" s="153" t="s">
        <v>334</v>
      </c>
      <c r="C26" s="154" t="s">
        <v>1146</v>
      </c>
      <c r="D26" s="154" t="s">
        <v>1147</v>
      </c>
      <c r="E26" s="154">
        <v>0.17499999999999999</v>
      </c>
      <c r="F26" s="154" t="s">
        <v>1148</v>
      </c>
      <c r="G26" s="154">
        <v>1.4E-2</v>
      </c>
      <c r="H26" s="155" t="s">
        <v>2095</v>
      </c>
      <c r="I26" s="155" t="s">
        <v>1147</v>
      </c>
      <c r="J26" s="155">
        <v>0.17</v>
      </c>
      <c r="K26" s="155" t="s">
        <v>2096</v>
      </c>
      <c r="L26" s="155">
        <v>1.4E-2</v>
      </c>
      <c r="N26" s="170" t="s">
        <v>334</v>
      </c>
      <c r="O26" s="170" t="s">
        <v>2095</v>
      </c>
      <c r="P26" s="170" t="s">
        <v>1147</v>
      </c>
      <c r="Q26" s="170">
        <v>0.17</v>
      </c>
      <c r="R26" s="170" t="s">
        <v>2096</v>
      </c>
      <c r="S26" s="171">
        <v>1.4E-2</v>
      </c>
    </row>
    <row r="27" spans="2:19" ht="27" thickBot="1" x14ac:dyDescent="0.35">
      <c r="B27" s="153" t="s">
        <v>335</v>
      </c>
      <c r="C27" s="154" t="s">
        <v>1149</v>
      </c>
      <c r="D27" s="154" t="s">
        <v>1150</v>
      </c>
      <c r="E27" s="154">
        <v>8.6999999999999994E-2</v>
      </c>
      <c r="F27" s="154" t="s">
        <v>1151</v>
      </c>
      <c r="G27" s="154">
        <v>2.1000000000000001E-2</v>
      </c>
      <c r="H27" s="155" t="s">
        <v>2097</v>
      </c>
      <c r="I27" s="155" t="s">
        <v>1150</v>
      </c>
      <c r="J27" s="155">
        <v>6.5000000000000002E-2</v>
      </c>
      <c r="K27" s="155" t="s">
        <v>2098</v>
      </c>
      <c r="L27" s="155">
        <v>0.02</v>
      </c>
      <c r="N27" s="170" t="s">
        <v>335</v>
      </c>
      <c r="O27" s="170" t="s">
        <v>2097</v>
      </c>
      <c r="P27" s="170" t="s">
        <v>1150</v>
      </c>
      <c r="Q27" s="170">
        <v>6.5000000000000002E-2</v>
      </c>
      <c r="R27" s="170" t="s">
        <v>2098</v>
      </c>
      <c r="S27" s="171">
        <v>0.02</v>
      </c>
    </row>
    <row r="28" spans="2:19" ht="27" thickBot="1" x14ac:dyDescent="0.35">
      <c r="B28" s="153" t="s">
        <v>336</v>
      </c>
      <c r="C28" s="154" t="s">
        <v>1152</v>
      </c>
      <c r="D28" s="154" t="s">
        <v>1153</v>
      </c>
      <c r="E28" s="154">
        <v>0.23100000000000001</v>
      </c>
      <c r="F28" s="154" t="s">
        <v>1154</v>
      </c>
      <c r="G28" s="154">
        <v>3.1E-2</v>
      </c>
      <c r="H28" s="155" t="s">
        <v>2099</v>
      </c>
      <c r="I28" s="155" t="s">
        <v>1153</v>
      </c>
      <c r="J28" s="155">
        <v>0.222</v>
      </c>
      <c r="K28" s="155" t="s">
        <v>2100</v>
      </c>
      <c r="L28" s="155">
        <v>3.3000000000000002E-2</v>
      </c>
      <c r="N28" s="170" t="s">
        <v>336</v>
      </c>
      <c r="O28" s="170" t="s">
        <v>2099</v>
      </c>
      <c r="P28" s="170" t="s">
        <v>1153</v>
      </c>
      <c r="Q28" s="170">
        <v>0.222</v>
      </c>
      <c r="R28" s="170" t="s">
        <v>2100</v>
      </c>
      <c r="S28" s="171">
        <v>3.3000000000000002E-2</v>
      </c>
    </row>
    <row r="29" spans="2:19" ht="27" thickBot="1" x14ac:dyDescent="0.35">
      <c r="B29" s="153" t="s">
        <v>337</v>
      </c>
      <c r="C29" s="154" t="s">
        <v>1156</v>
      </c>
      <c r="D29" s="154" t="s">
        <v>1157</v>
      </c>
      <c r="E29" s="154">
        <v>7.3999999999999996E-2</v>
      </c>
      <c r="F29" s="154" t="s">
        <v>1158</v>
      </c>
      <c r="G29" s="154">
        <v>0.01</v>
      </c>
      <c r="H29" s="155" t="s">
        <v>2101</v>
      </c>
      <c r="I29" s="155" t="s">
        <v>1157</v>
      </c>
      <c r="J29" s="155">
        <v>9.1999999999999998E-2</v>
      </c>
      <c r="K29" s="155" t="s">
        <v>2102</v>
      </c>
      <c r="L29" s="155">
        <v>1.2999999999999999E-2</v>
      </c>
      <c r="N29" s="170" t="s">
        <v>1155</v>
      </c>
      <c r="O29" s="170" t="s">
        <v>2101</v>
      </c>
      <c r="P29" s="170" t="s">
        <v>1157</v>
      </c>
      <c r="Q29" s="170">
        <v>9.1999999999999998E-2</v>
      </c>
      <c r="R29" s="170" t="s">
        <v>2102</v>
      </c>
      <c r="S29" s="171">
        <v>1.2999999999999999E-2</v>
      </c>
    </row>
    <row r="30" spans="2:19" ht="27" thickBot="1" x14ac:dyDescent="0.35">
      <c r="B30" s="153" t="s">
        <v>338</v>
      </c>
      <c r="C30" s="154"/>
      <c r="D30" s="154"/>
      <c r="E30" s="154"/>
      <c r="F30" s="154"/>
      <c r="G30" s="154"/>
      <c r="H30" s="155"/>
      <c r="I30" s="155"/>
      <c r="J30" s="155"/>
      <c r="K30" s="155"/>
      <c r="L30" s="155"/>
      <c r="N30" s="172" t="s">
        <v>1159</v>
      </c>
      <c r="O30" s="170"/>
      <c r="P30" s="170"/>
      <c r="Q30" s="170"/>
      <c r="R30" s="170"/>
      <c r="S30" s="171"/>
    </row>
    <row r="31" spans="2:19" ht="27" thickBot="1" x14ac:dyDescent="0.35">
      <c r="B31" s="153" t="s">
        <v>339</v>
      </c>
      <c r="C31" s="154" t="s">
        <v>1160</v>
      </c>
      <c r="D31" s="154" t="s">
        <v>1161</v>
      </c>
      <c r="E31" s="154">
        <v>7.5999999999999998E-2</v>
      </c>
      <c r="F31" s="154" t="s">
        <v>1162</v>
      </c>
      <c r="G31" s="154">
        <v>3.0000000000000001E-3</v>
      </c>
      <c r="H31" s="155" t="s">
        <v>2103</v>
      </c>
      <c r="I31" s="155" t="s">
        <v>1161</v>
      </c>
      <c r="J31" s="155">
        <v>6.8000000000000005E-2</v>
      </c>
      <c r="K31" s="155" t="s">
        <v>2104</v>
      </c>
      <c r="L31" s="155">
        <v>5.0000000000000001E-3</v>
      </c>
      <c r="N31" s="170" t="s">
        <v>339</v>
      </c>
      <c r="O31" s="170" t="s">
        <v>2103</v>
      </c>
      <c r="P31" s="170" t="s">
        <v>1161</v>
      </c>
      <c r="Q31" s="170">
        <v>6.8000000000000005E-2</v>
      </c>
      <c r="R31" s="170" t="s">
        <v>2104</v>
      </c>
      <c r="S31" s="171">
        <v>5.0000000000000001E-3</v>
      </c>
    </row>
    <row r="32" spans="2:19" ht="27" thickBot="1" x14ac:dyDescent="0.35">
      <c r="B32" s="153" t="s">
        <v>340</v>
      </c>
      <c r="C32" s="154" t="s">
        <v>1163</v>
      </c>
      <c r="D32" s="154" t="s">
        <v>1164</v>
      </c>
      <c r="E32" s="154">
        <v>2.8000000000000001E-2</v>
      </c>
      <c r="F32" s="154" t="s">
        <v>1165</v>
      </c>
      <c r="G32" s="154">
        <v>4.0000000000000001E-3</v>
      </c>
      <c r="H32" s="155" t="s">
        <v>2105</v>
      </c>
      <c r="I32" s="155" t="s">
        <v>1164</v>
      </c>
      <c r="J32" s="155">
        <v>3.5999999999999997E-2</v>
      </c>
      <c r="K32" s="155" t="s">
        <v>2106</v>
      </c>
      <c r="L32" s="155">
        <v>5.0000000000000001E-3</v>
      </c>
      <c r="N32" s="170" t="s">
        <v>340</v>
      </c>
      <c r="O32" s="170" t="s">
        <v>2105</v>
      </c>
      <c r="P32" s="170" t="s">
        <v>1164</v>
      </c>
      <c r="Q32" s="170">
        <v>3.5999999999999997E-2</v>
      </c>
      <c r="R32" s="170" t="s">
        <v>2106</v>
      </c>
      <c r="S32" s="171">
        <v>5.0000000000000001E-3</v>
      </c>
    </row>
    <row r="33" spans="2:19" ht="27" thickBot="1" x14ac:dyDescent="0.35">
      <c r="B33" s="153" t="s">
        <v>337</v>
      </c>
      <c r="C33" s="154" t="s">
        <v>1166</v>
      </c>
      <c r="D33" s="154" t="s">
        <v>1167</v>
      </c>
      <c r="E33" s="154">
        <v>0.10299999999999999</v>
      </c>
      <c r="F33" s="154" t="s">
        <v>1168</v>
      </c>
      <c r="G33" s="154">
        <v>3.0000000000000001E-3</v>
      </c>
      <c r="H33" s="155" t="s">
        <v>2107</v>
      </c>
      <c r="I33" s="155" t="s">
        <v>1167</v>
      </c>
      <c r="J33" s="155">
        <v>0.10299999999999999</v>
      </c>
      <c r="K33" s="155" t="s">
        <v>2108</v>
      </c>
      <c r="L33" s="155">
        <v>7.0000000000000001E-3</v>
      </c>
      <c r="N33" s="170" t="s">
        <v>337</v>
      </c>
      <c r="O33" s="170" t="s">
        <v>2107</v>
      </c>
      <c r="P33" s="170" t="s">
        <v>1167</v>
      </c>
      <c r="Q33" s="170">
        <v>0.10299999999999999</v>
      </c>
      <c r="R33" s="170" t="s">
        <v>2108</v>
      </c>
      <c r="S33" s="171">
        <v>7.0000000000000001E-3</v>
      </c>
    </row>
    <row r="34" spans="2:19" ht="27" thickBot="1" x14ac:dyDescent="0.35">
      <c r="B34" s="153" t="s">
        <v>341</v>
      </c>
      <c r="C34" s="154" t="s">
        <v>1169</v>
      </c>
      <c r="D34" s="154" t="s">
        <v>1170</v>
      </c>
      <c r="E34" s="154">
        <v>2.3E-2</v>
      </c>
      <c r="F34" s="154" t="s">
        <v>1171</v>
      </c>
      <c r="G34" s="154">
        <v>7.0000000000000001E-3</v>
      </c>
      <c r="H34" s="155" t="s">
        <v>2109</v>
      </c>
      <c r="I34" s="155" t="s">
        <v>1170</v>
      </c>
      <c r="J34" s="155">
        <v>2.9000000000000001E-2</v>
      </c>
      <c r="K34" s="155" t="s">
        <v>2110</v>
      </c>
      <c r="L34" s="155">
        <v>5.0000000000000001E-3</v>
      </c>
      <c r="N34" s="170" t="s">
        <v>341</v>
      </c>
      <c r="O34" s="170" t="s">
        <v>2109</v>
      </c>
      <c r="P34" s="170" t="s">
        <v>1170</v>
      </c>
      <c r="Q34" s="170">
        <v>2.9000000000000001E-2</v>
      </c>
      <c r="R34" s="170" t="s">
        <v>2110</v>
      </c>
      <c r="S34" s="171">
        <v>5.0000000000000001E-3</v>
      </c>
    </row>
    <row r="35" spans="2:19" ht="27" thickBot="1" x14ac:dyDescent="0.35">
      <c r="B35" s="153" t="s">
        <v>342</v>
      </c>
      <c r="C35" s="154"/>
      <c r="D35" s="154"/>
      <c r="E35" s="154"/>
      <c r="F35" s="154"/>
      <c r="G35" s="154"/>
      <c r="H35" s="155"/>
      <c r="I35" s="155"/>
      <c r="J35" s="155"/>
      <c r="K35" s="155"/>
      <c r="L35" s="155"/>
      <c r="N35" s="172" t="s">
        <v>1172</v>
      </c>
      <c r="O35" s="170"/>
      <c r="P35" s="170"/>
      <c r="Q35" s="170"/>
      <c r="R35" s="170"/>
      <c r="S35" s="171"/>
    </row>
    <row r="36" spans="2:19" ht="27" thickBot="1" x14ac:dyDescent="0.35">
      <c r="B36" s="153" t="s">
        <v>340</v>
      </c>
      <c r="C36" s="154" t="s">
        <v>1173</v>
      </c>
      <c r="D36" s="154" t="s">
        <v>1174</v>
      </c>
      <c r="E36" s="154">
        <v>2.5999999999999999E-2</v>
      </c>
      <c r="F36" s="154" t="s">
        <v>1175</v>
      </c>
      <c r="G36" s="154">
        <v>6.0000000000000001E-3</v>
      </c>
      <c r="H36" s="155" t="s">
        <v>2111</v>
      </c>
      <c r="I36" s="155" t="s">
        <v>1174</v>
      </c>
      <c r="J36" s="155">
        <v>2.8000000000000001E-2</v>
      </c>
      <c r="K36" s="155" t="s">
        <v>2112</v>
      </c>
      <c r="L36" s="155">
        <v>6.0000000000000001E-3</v>
      </c>
      <c r="N36" s="170" t="s">
        <v>340</v>
      </c>
      <c r="O36" s="170" t="s">
        <v>2111</v>
      </c>
      <c r="P36" s="170" t="s">
        <v>1174</v>
      </c>
      <c r="Q36" s="170">
        <v>2.8000000000000001E-2</v>
      </c>
      <c r="R36" s="170" t="s">
        <v>2112</v>
      </c>
      <c r="S36" s="171">
        <v>6.0000000000000001E-3</v>
      </c>
    </row>
    <row r="37" spans="2:19" ht="27" thickBot="1" x14ac:dyDescent="0.35">
      <c r="B37" s="153" t="s">
        <v>339</v>
      </c>
      <c r="C37" s="154" t="s">
        <v>1176</v>
      </c>
      <c r="D37" s="154" t="s">
        <v>1177</v>
      </c>
      <c r="E37" s="154">
        <v>6.3E-2</v>
      </c>
      <c r="F37" s="154" t="s">
        <v>1178</v>
      </c>
      <c r="G37" s="154">
        <v>4.0000000000000001E-3</v>
      </c>
      <c r="H37" s="155" t="s">
        <v>2113</v>
      </c>
      <c r="I37" s="155" t="s">
        <v>1177</v>
      </c>
      <c r="J37" s="155">
        <v>5.3999999999999999E-2</v>
      </c>
      <c r="K37" s="155" t="s">
        <v>2114</v>
      </c>
      <c r="L37" s="155">
        <v>5.0000000000000001E-3</v>
      </c>
      <c r="N37" s="170" t="s">
        <v>339</v>
      </c>
      <c r="O37" s="170" t="s">
        <v>2113</v>
      </c>
      <c r="P37" s="170" t="s">
        <v>1177</v>
      </c>
      <c r="Q37" s="170">
        <v>5.3999999999999999E-2</v>
      </c>
      <c r="R37" s="170" t="s">
        <v>2114</v>
      </c>
      <c r="S37" s="171">
        <v>5.0000000000000001E-3</v>
      </c>
    </row>
    <row r="38" spans="2:19" ht="27" thickBot="1" x14ac:dyDescent="0.35">
      <c r="B38" s="153" t="s">
        <v>337</v>
      </c>
      <c r="C38" s="154" t="s">
        <v>1179</v>
      </c>
      <c r="D38" s="154" t="s">
        <v>1180</v>
      </c>
      <c r="E38" s="154">
        <v>6.0000000000000001E-3</v>
      </c>
      <c r="F38" s="154" t="s">
        <v>1181</v>
      </c>
      <c r="G38" s="154">
        <v>2E-3</v>
      </c>
      <c r="H38" s="155" t="s">
        <v>2115</v>
      </c>
      <c r="I38" s="155" t="s">
        <v>1180</v>
      </c>
      <c r="J38" s="155">
        <v>1.7999999999999999E-2</v>
      </c>
      <c r="K38" s="155" t="s">
        <v>2116</v>
      </c>
      <c r="L38" s="155">
        <v>7.0000000000000001E-3</v>
      </c>
      <c r="N38" s="170" t="s">
        <v>337</v>
      </c>
      <c r="O38" s="170" t="s">
        <v>2115</v>
      </c>
      <c r="P38" s="170" t="s">
        <v>1180</v>
      </c>
      <c r="Q38" s="170">
        <v>1.7999999999999999E-2</v>
      </c>
      <c r="R38" s="170" t="s">
        <v>2116</v>
      </c>
      <c r="S38" s="171">
        <v>7.0000000000000001E-3</v>
      </c>
    </row>
    <row r="39" spans="2:19" ht="27" thickBot="1" x14ac:dyDescent="0.35">
      <c r="B39" s="153" t="s">
        <v>341</v>
      </c>
      <c r="C39" s="154" t="s">
        <v>1182</v>
      </c>
      <c r="D39" s="154" t="s">
        <v>1183</v>
      </c>
      <c r="E39" s="154">
        <v>1.6E-2</v>
      </c>
      <c r="F39" s="154" t="s">
        <v>1184</v>
      </c>
      <c r="G39" s="154">
        <v>7.0000000000000001E-3</v>
      </c>
      <c r="H39" s="155" t="s">
        <v>2117</v>
      </c>
      <c r="I39" s="155" t="s">
        <v>1183</v>
      </c>
      <c r="J39" s="155">
        <v>2.9000000000000001E-2</v>
      </c>
      <c r="K39" s="155" t="s">
        <v>2118</v>
      </c>
      <c r="L39" s="155">
        <v>3.0000000000000001E-3</v>
      </c>
      <c r="N39" s="170" t="s">
        <v>341</v>
      </c>
      <c r="O39" s="170" t="s">
        <v>2117</v>
      </c>
      <c r="P39" s="170" t="s">
        <v>1183</v>
      </c>
      <c r="Q39" s="170">
        <v>2.9000000000000001E-2</v>
      </c>
      <c r="R39" s="170" t="s">
        <v>2118</v>
      </c>
      <c r="S39" s="171">
        <v>3.0000000000000001E-3</v>
      </c>
    </row>
    <row r="40" spans="2:19" ht="27" thickBot="1" x14ac:dyDescent="0.35">
      <c r="B40" s="153" t="s">
        <v>343</v>
      </c>
      <c r="C40" s="154"/>
      <c r="D40" s="154"/>
      <c r="E40" s="154"/>
      <c r="F40" s="154"/>
      <c r="G40" s="154"/>
      <c r="H40" s="155"/>
      <c r="I40" s="155"/>
      <c r="J40" s="155"/>
      <c r="K40" s="155"/>
      <c r="L40" s="155"/>
      <c r="N40" s="172" t="s">
        <v>1185</v>
      </c>
      <c r="O40" s="170"/>
      <c r="P40" s="170"/>
      <c r="Q40" s="170"/>
      <c r="R40" s="170"/>
      <c r="S40" s="171"/>
    </row>
    <row r="41" spans="2:19" ht="40.200000000000003" thickBot="1" x14ac:dyDescent="0.35">
      <c r="B41" s="153" t="s">
        <v>344</v>
      </c>
      <c r="C41" s="154" t="s">
        <v>1187</v>
      </c>
      <c r="D41" s="154" t="s">
        <v>1188</v>
      </c>
      <c r="E41" s="154">
        <v>0.14899999999999999</v>
      </c>
      <c r="F41" s="154" t="s">
        <v>1189</v>
      </c>
      <c r="G41" s="154">
        <v>1.0999999999999999E-2</v>
      </c>
      <c r="H41" s="155" t="s">
        <v>2119</v>
      </c>
      <c r="I41" s="155" t="s">
        <v>1188</v>
      </c>
      <c r="J41" s="155">
        <v>0.186</v>
      </c>
      <c r="K41" s="155" t="s">
        <v>2120</v>
      </c>
      <c r="L41" s="155">
        <v>1.7000000000000001E-2</v>
      </c>
      <c r="N41" s="170" t="s">
        <v>1186</v>
      </c>
      <c r="O41" s="170" t="s">
        <v>2119</v>
      </c>
      <c r="P41" s="170" t="s">
        <v>1188</v>
      </c>
      <c r="Q41" s="170">
        <v>0.186</v>
      </c>
      <c r="R41" s="170" t="s">
        <v>2120</v>
      </c>
      <c r="S41" s="171">
        <v>1.7000000000000001E-2</v>
      </c>
    </row>
    <row r="42" spans="2:19" ht="40.200000000000003" thickBot="1" x14ac:dyDescent="0.35">
      <c r="B42" s="153" t="s">
        <v>345</v>
      </c>
      <c r="C42" s="154" t="s">
        <v>1191</v>
      </c>
      <c r="D42" s="154" t="s">
        <v>1192</v>
      </c>
      <c r="E42" s="154">
        <v>0.17699999999999999</v>
      </c>
      <c r="F42" s="154" t="s">
        <v>1193</v>
      </c>
      <c r="G42" s="154">
        <v>2.1000000000000001E-2</v>
      </c>
      <c r="H42" s="155" t="s">
        <v>2121</v>
      </c>
      <c r="I42" s="155" t="s">
        <v>1192</v>
      </c>
      <c r="J42" s="155">
        <v>0.10199999999999999</v>
      </c>
      <c r="K42" s="155" t="s">
        <v>2122</v>
      </c>
      <c r="L42" s="155">
        <v>2.1000000000000001E-2</v>
      </c>
      <c r="N42" s="170" t="s">
        <v>1190</v>
      </c>
      <c r="O42" s="170" t="s">
        <v>2121</v>
      </c>
      <c r="P42" s="170" t="s">
        <v>1192</v>
      </c>
      <c r="Q42" s="170">
        <v>0.10199999999999999</v>
      </c>
      <c r="R42" s="170" t="s">
        <v>2122</v>
      </c>
      <c r="S42" s="171">
        <v>2.1000000000000001E-2</v>
      </c>
    </row>
    <row r="43" spans="2:19" ht="40.200000000000003" thickBot="1" x14ac:dyDescent="0.35">
      <c r="B43" s="153" t="s">
        <v>346</v>
      </c>
      <c r="C43" s="154" t="s">
        <v>1195</v>
      </c>
      <c r="D43" s="154" t="s">
        <v>1196</v>
      </c>
      <c r="E43" s="154">
        <v>4.4999999999999998E-2</v>
      </c>
      <c r="F43" s="154" t="s">
        <v>1197</v>
      </c>
      <c r="G43" s="154">
        <v>2.5999999999999999E-2</v>
      </c>
      <c r="H43" s="155" t="s">
        <v>2123</v>
      </c>
      <c r="I43" s="155" t="s">
        <v>1196</v>
      </c>
      <c r="J43" s="155">
        <v>4.9000000000000002E-2</v>
      </c>
      <c r="K43" s="155" t="s">
        <v>2124</v>
      </c>
      <c r="L43" s="155">
        <v>2.9000000000000001E-2</v>
      </c>
      <c r="N43" s="170" t="s">
        <v>1194</v>
      </c>
      <c r="O43" s="170" t="s">
        <v>2123</v>
      </c>
      <c r="P43" s="170" t="s">
        <v>1196</v>
      </c>
      <c r="Q43" s="170">
        <v>4.9000000000000002E-2</v>
      </c>
      <c r="R43" s="170" t="s">
        <v>2124</v>
      </c>
      <c r="S43" s="171">
        <v>2.9000000000000001E-2</v>
      </c>
    </row>
    <row r="44" spans="2:19" ht="27" thickBot="1" x14ac:dyDescent="0.35">
      <c r="B44" s="153" t="s">
        <v>347</v>
      </c>
      <c r="C44" s="154" t="s">
        <v>1198</v>
      </c>
      <c r="D44" s="154" t="s">
        <v>1199</v>
      </c>
      <c r="E44" s="154">
        <v>6.2E-2</v>
      </c>
      <c r="F44" s="154" t="s">
        <v>1200</v>
      </c>
      <c r="G44" s="154">
        <v>1E-3</v>
      </c>
      <c r="H44" s="155" t="s">
        <v>2125</v>
      </c>
      <c r="I44" s="155" t="s">
        <v>1199</v>
      </c>
      <c r="J44" s="155">
        <v>7.6999999999999999E-2</v>
      </c>
      <c r="K44" s="155" t="s">
        <v>2126</v>
      </c>
      <c r="L44" s="155">
        <v>1E-3</v>
      </c>
      <c r="N44" s="170" t="s">
        <v>347</v>
      </c>
      <c r="O44" s="170" t="s">
        <v>2125</v>
      </c>
      <c r="P44" s="170" t="s">
        <v>1199</v>
      </c>
      <c r="Q44" s="170">
        <v>7.6999999999999999E-2</v>
      </c>
      <c r="R44" s="170" t="s">
        <v>2126</v>
      </c>
      <c r="S44" s="171">
        <v>1E-3</v>
      </c>
    </row>
    <row r="45" spans="2:19" ht="15" thickBot="1" x14ac:dyDescent="0.35">
      <c r="B45" s="153" t="s">
        <v>348</v>
      </c>
      <c r="C45" s="154"/>
      <c r="D45" s="154"/>
      <c r="E45" s="154"/>
      <c r="F45" s="154"/>
      <c r="G45" s="154"/>
      <c r="H45" s="155"/>
      <c r="I45" s="155"/>
      <c r="J45" s="155"/>
      <c r="K45" s="155"/>
      <c r="L45" s="155"/>
      <c r="N45" s="170"/>
      <c r="O45" s="170"/>
      <c r="P45" s="170"/>
      <c r="Q45" s="170"/>
      <c r="R45" s="170"/>
      <c r="S45" s="171"/>
    </row>
    <row r="46" spans="2:19" ht="93" thickBot="1" x14ac:dyDescent="0.35">
      <c r="B46" s="153" t="s">
        <v>349</v>
      </c>
      <c r="C46" s="154" t="s">
        <v>1202</v>
      </c>
      <c r="D46" s="154" t="s">
        <v>1203</v>
      </c>
      <c r="E46" s="154">
        <v>2.7E-2</v>
      </c>
      <c r="F46" s="154" t="s">
        <v>1204</v>
      </c>
      <c r="G46" s="154">
        <v>3.0000000000000001E-3</v>
      </c>
      <c r="H46" s="155" t="s">
        <v>2127</v>
      </c>
      <c r="I46" s="155" t="s">
        <v>1203</v>
      </c>
      <c r="J46" s="155">
        <v>2.4E-2</v>
      </c>
      <c r="K46" s="155" t="s">
        <v>2128</v>
      </c>
      <c r="L46" s="155">
        <v>0</v>
      </c>
      <c r="N46" s="170" t="s">
        <v>1201</v>
      </c>
      <c r="O46" s="170" t="s">
        <v>2127</v>
      </c>
      <c r="P46" s="170" t="s">
        <v>1203</v>
      </c>
      <c r="Q46" s="170">
        <v>2.4E-2</v>
      </c>
      <c r="R46" s="170" t="s">
        <v>2128</v>
      </c>
      <c r="S46" s="171">
        <v>0</v>
      </c>
    </row>
    <row r="47" spans="2:19" ht="93" thickBot="1" x14ac:dyDescent="0.35">
      <c r="B47" s="153" t="s">
        <v>350</v>
      </c>
      <c r="C47" s="154" t="s">
        <v>1206</v>
      </c>
      <c r="D47" s="154" t="s">
        <v>1207</v>
      </c>
      <c r="E47" s="154">
        <v>3.7999999999999999E-2</v>
      </c>
      <c r="F47" s="154" t="s">
        <v>1208</v>
      </c>
      <c r="G47" s="154">
        <v>7.0000000000000001E-3</v>
      </c>
      <c r="H47" s="155" t="s">
        <v>2129</v>
      </c>
      <c r="I47" s="155" t="s">
        <v>1207</v>
      </c>
      <c r="J47" s="155">
        <v>4.2000000000000003E-2</v>
      </c>
      <c r="K47" s="155" t="s">
        <v>2130</v>
      </c>
      <c r="L47" s="155">
        <v>0</v>
      </c>
      <c r="N47" s="170" t="s">
        <v>1205</v>
      </c>
      <c r="O47" s="170" t="s">
        <v>2129</v>
      </c>
      <c r="P47" s="170" t="s">
        <v>1207</v>
      </c>
      <c r="Q47" s="170">
        <v>4.2000000000000003E-2</v>
      </c>
      <c r="R47" s="170" t="s">
        <v>2130</v>
      </c>
      <c r="S47" s="171">
        <v>0</v>
      </c>
    </row>
    <row r="48" spans="2:19" ht="106.2" thickBot="1" x14ac:dyDescent="0.35">
      <c r="B48" s="153" t="s">
        <v>351</v>
      </c>
      <c r="C48" s="154" t="s">
        <v>1210</v>
      </c>
      <c r="D48" s="154" t="s">
        <v>1211</v>
      </c>
      <c r="E48" s="154">
        <v>0.26500000000000001</v>
      </c>
      <c r="F48" s="154" t="s">
        <v>1212</v>
      </c>
      <c r="G48" s="154">
        <v>2.7E-2</v>
      </c>
      <c r="H48" s="155" t="s">
        <v>2131</v>
      </c>
      <c r="I48" s="155" t="s">
        <v>1211</v>
      </c>
      <c r="J48" s="155">
        <v>0.30499999999999999</v>
      </c>
      <c r="K48" s="155" t="s">
        <v>2132</v>
      </c>
      <c r="L48" s="155">
        <v>2.7E-2</v>
      </c>
      <c r="N48" s="170" t="s">
        <v>1209</v>
      </c>
      <c r="O48" s="170" t="s">
        <v>2131</v>
      </c>
      <c r="P48" s="170" t="s">
        <v>1211</v>
      </c>
      <c r="Q48" s="170">
        <v>0.30499999999999999</v>
      </c>
      <c r="R48" s="170" t="s">
        <v>2132</v>
      </c>
      <c r="S48" s="171">
        <v>2.7E-2</v>
      </c>
    </row>
    <row r="49" spans="2:19" ht="119.4" thickBot="1" x14ac:dyDescent="0.35">
      <c r="B49" s="153" t="s">
        <v>352</v>
      </c>
      <c r="C49" s="154" t="s">
        <v>1214</v>
      </c>
      <c r="D49" s="154" t="s">
        <v>1215</v>
      </c>
      <c r="E49" s="154">
        <v>1.4E-2</v>
      </c>
      <c r="F49" s="154" t="s">
        <v>1216</v>
      </c>
      <c r="G49" s="154">
        <v>3.0000000000000001E-3</v>
      </c>
      <c r="H49" s="155" t="s">
        <v>2133</v>
      </c>
      <c r="I49" s="155" t="s">
        <v>1215</v>
      </c>
      <c r="J49" s="155">
        <v>1.0999999999999999E-2</v>
      </c>
      <c r="K49" s="155" t="s">
        <v>2134</v>
      </c>
      <c r="L49" s="155">
        <v>5.0000000000000001E-3</v>
      </c>
      <c r="N49" s="170" t="s">
        <v>1213</v>
      </c>
      <c r="O49" s="170" t="s">
        <v>2133</v>
      </c>
      <c r="P49" s="170" t="s">
        <v>1215</v>
      </c>
      <c r="Q49" s="170">
        <v>1.0999999999999999E-2</v>
      </c>
      <c r="R49" s="170" t="s">
        <v>2134</v>
      </c>
      <c r="S49" s="171">
        <v>5.0000000000000001E-3</v>
      </c>
    </row>
    <row r="50" spans="2:19" ht="106.2" thickBot="1" x14ac:dyDescent="0.35">
      <c r="B50" s="153" t="s">
        <v>353</v>
      </c>
      <c r="C50" s="154" t="s">
        <v>1218</v>
      </c>
      <c r="D50" s="154" t="s">
        <v>1219</v>
      </c>
      <c r="E50" s="154">
        <v>3.0000000000000001E-3</v>
      </c>
      <c r="F50" s="154" t="s">
        <v>1220</v>
      </c>
      <c r="G50" s="154">
        <v>2E-3</v>
      </c>
      <c r="H50" s="155" t="s">
        <v>2135</v>
      </c>
      <c r="I50" s="155" t="s">
        <v>1219</v>
      </c>
      <c r="J50" s="155">
        <v>2E-3</v>
      </c>
      <c r="K50" s="155" t="s">
        <v>2136</v>
      </c>
      <c r="L50" s="155">
        <v>1E-3</v>
      </c>
      <c r="N50" s="170" t="s">
        <v>1217</v>
      </c>
      <c r="O50" s="170" t="s">
        <v>2135</v>
      </c>
      <c r="P50" s="170" t="s">
        <v>1219</v>
      </c>
      <c r="Q50" s="170">
        <v>2E-3</v>
      </c>
      <c r="R50" s="170" t="s">
        <v>2136</v>
      </c>
      <c r="S50" s="171">
        <v>1E-3</v>
      </c>
    </row>
    <row r="51" spans="2:19" ht="106.2" thickBot="1" x14ac:dyDescent="0.35">
      <c r="B51" s="153" t="s">
        <v>354</v>
      </c>
      <c r="C51" s="154" t="s">
        <v>1222</v>
      </c>
      <c r="D51" s="154" t="s">
        <v>1223</v>
      </c>
      <c r="E51" s="154">
        <v>3.0000000000000001E-3</v>
      </c>
      <c r="F51" s="154" t="s">
        <v>1224</v>
      </c>
      <c r="G51" s="154">
        <v>8.9999999999999993E-3</v>
      </c>
      <c r="H51" s="155" t="s">
        <v>2137</v>
      </c>
      <c r="I51" s="155" t="s">
        <v>1223</v>
      </c>
      <c r="J51" s="155">
        <v>4.0000000000000001E-3</v>
      </c>
      <c r="K51" s="155" t="s">
        <v>2138</v>
      </c>
      <c r="L51" s="155">
        <v>4.0000000000000001E-3</v>
      </c>
      <c r="N51" s="170" t="s">
        <v>1221</v>
      </c>
      <c r="O51" s="170" t="s">
        <v>2137</v>
      </c>
      <c r="P51" s="170" t="s">
        <v>1223</v>
      </c>
      <c r="Q51" s="170">
        <v>4.0000000000000001E-3</v>
      </c>
      <c r="R51" s="170" t="s">
        <v>2138</v>
      </c>
      <c r="S51" s="171">
        <v>4.0000000000000001E-3</v>
      </c>
    </row>
    <row r="52" spans="2:19" ht="15" thickBot="1" x14ac:dyDescent="0.35">
      <c r="B52" s="153" t="s">
        <v>355</v>
      </c>
      <c r="C52" s="154"/>
      <c r="D52" s="154"/>
      <c r="E52" s="154"/>
      <c r="F52" s="154"/>
      <c r="G52" s="154"/>
      <c r="H52" s="155"/>
      <c r="I52" s="155"/>
      <c r="J52" s="155"/>
      <c r="K52" s="155"/>
      <c r="L52" s="155"/>
      <c r="N52" s="170"/>
      <c r="O52" s="170"/>
      <c r="P52" s="170"/>
      <c r="Q52" s="170"/>
      <c r="R52" s="170"/>
      <c r="S52" s="171"/>
    </row>
    <row r="53" spans="2:19" ht="132.6" thickBot="1" x14ac:dyDescent="0.35">
      <c r="B53" s="153" t="s">
        <v>356</v>
      </c>
      <c r="C53" s="154" t="s">
        <v>1226</v>
      </c>
      <c r="D53" s="154" t="s">
        <v>1227</v>
      </c>
      <c r="E53" s="154">
        <v>8.4000000000000005E-2</v>
      </c>
      <c r="F53" s="154" t="s">
        <v>1228</v>
      </c>
      <c r="G53" s="154">
        <v>8.0000000000000002E-3</v>
      </c>
      <c r="H53" s="155" t="s">
        <v>2139</v>
      </c>
      <c r="I53" s="155" t="s">
        <v>1227</v>
      </c>
      <c r="J53" s="155">
        <v>0.08</v>
      </c>
      <c r="K53" s="155" t="s">
        <v>2140</v>
      </c>
      <c r="L53" s="155">
        <v>6.0000000000000001E-3</v>
      </c>
      <c r="N53" s="170" t="s">
        <v>1225</v>
      </c>
      <c r="O53" s="170" t="s">
        <v>2139</v>
      </c>
      <c r="P53" s="170" t="s">
        <v>1227</v>
      </c>
      <c r="Q53" s="170">
        <v>0.08</v>
      </c>
      <c r="R53" s="170" t="s">
        <v>2140</v>
      </c>
      <c r="S53" s="171">
        <v>6.0000000000000001E-3</v>
      </c>
    </row>
    <row r="54" spans="2:19" ht="145.80000000000001" thickBot="1" x14ac:dyDescent="0.35">
      <c r="B54" s="153" t="s">
        <v>325</v>
      </c>
      <c r="C54" s="154" t="s">
        <v>855</v>
      </c>
      <c r="D54" s="154" t="s">
        <v>1230</v>
      </c>
      <c r="E54" s="154">
        <v>0.16800000000000001</v>
      </c>
      <c r="F54" s="154" t="s">
        <v>1231</v>
      </c>
      <c r="G54" s="154">
        <v>0.28799999999999998</v>
      </c>
      <c r="H54" s="155" t="s">
        <v>855</v>
      </c>
      <c r="I54" s="155" t="s">
        <v>1230</v>
      </c>
      <c r="J54" s="155">
        <v>0.16800000000000001</v>
      </c>
      <c r="K54" s="155" t="s">
        <v>2141</v>
      </c>
      <c r="L54" s="155">
        <v>0.27700000000000002</v>
      </c>
      <c r="N54" s="170" t="s">
        <v>1229</v>
      </c>
      <c r="O54" s="170" t="s">
        <v>855</v>
      </c>
      <c r="P54" s="170" t="s">
        <v>1230</v>
      </c>
      <c r="Q54" s="170">
        <v>0.16800000000000001</v>
      </c>
      <c r="R54" s="170" t="s">
        <v>2141</v>
      </c>
      <c r="S54" s="171">
        <v>0.27700000000000002</v>
      </c>
    </row>
    <row r="55" spans="2:19" ht="132.6" thickBot="1" x14ac:dyDescent="0.35">
      <c r="B55" s="153" t="s">
        <v>357</v>
      </c>
      <c r="C55" s="154" t="s">
        <v>1233</v>
      </c>
      <c r="D55" s="154" t="s">
        <v>1234</v>
      </c>
      <c r="E55" s="154">
        <v>0.26100000000000001</v>
      </c>
      <c r="F55" s="154" t="s">
        <v>1235</v>
      </c>
      <c r="G55" s="154">
        <v>1.6E-2</v>
      </c>
      <c r="H55" s="155" t="s">
        <v>2142</v>
      </c>
      <c r="I55" s="155" t="s">
        <v>1234</v>
      </c>
      <c r="J55" s="155">
        <v>0.22900000000000001</v>
      </c>
      <c r="K55" s="155" t="s">
        <v>2143</v>
      </c>
      <c r="L55" s="155">
        <v>0.01</v>
      </c>
      <c r="N55" s="170" t="s">
        <v>1232</v>
      </c>
      <c r="O55" s="170" t="s">
        <v>2142</v>
      </c>
      <c r="P55" s="170" t="s">
        <v>1234</v>
      </c>
      <c r="Q55" s="170">
        <v>0.22900000000000001</v>
      </c>
      <c r="R55" s="170" t="s">
        <v>2143</v>
      </c>
      <c r="S55" s="171">
        <v>0.01</v>
      </c>
    </row>
    <row r="56" spans="2:19" ht="145.80000000000001" thickBot="1" x14ac:dyDescent="0.35">
      <c r="B56" s="153" t="s">
        <v>358</v>
      </c>
      <c r="C56" s="154" t="s">
        <v>1237</v>
      </c>
      <c r="D56" s="154" t="s">
        <v>1238</v>
      </c>
      <c r="E56" s="154">
        <v>0.13400000000000001</v>
      </c>
      <c r="F56" s="154" t="s">
        <v>1239</v>
      </c>
      <c r="G56" s="154">
        <v>3.1E-2</v>
      </c>
      <c r="H56" s="155" t="s">
        <v>2144</v>
      </c>
      <c r="I56" s="155" t="s">
        <v>1238</v>
      </c>
      <c r="J56" s="155">
        <v>0.17</v>
      </c>
      <c r="K56" s="155" t="s">
        <v>2145</v>
      </c>
      <c r="L56" s="155">
        <v>7.0999999999999994E-2</v>
      </c>
      <c r="N56" s="170" t="s">
        <v>1236</v>
      </c>
      <c r="O56" s="170" t="s">
        <v>2144</v>
      </c>
      <c r="P56" s="170" t="s">
        <v>1238</v>
      </c>
      <c r="Q56" s="170">
        <v>0.17</v>
      </c>
      <c r="R56" s="170" t="s">
        <v>2145</v>
      </c>
      <c r="S56" s="171">
        <v>7.0999999999999994E-2</v>
      </c>
    </row>
    <row r="57" spans="2:19" ht="132.6" thickBot="1" x14ac:dyDescent="0.35">
      <c r="B57" s="153" t="s">
        <v>359</v>
      </c>
      <c r="C57" s="154" t="s">
        <v>1241</v>
      </c>
      <c r="D57" s="154" t="s">
        <v>1242</v>
      </c>
      <c r="E57" s="154">
        <v>0.32600000000000001</v>
      </c>
      <c r="F57" s="154" t="s">
        <v>1243</v>
      </c>
      <c r="G57" s="154">
        <v>0.35099999999999998</v>
      </c>
      <c r="H57" s="155" t="s">
        <v>2146</v>
      </c>
      <c r="I57" s="155" t="s">
        <v>1242</v>
      </c>
      <c r="J57" s="155">
        <v>0.97499999999999998</v>
      </c>
      <c r="K57" s="155" t="s">
        <v>2147</v>
      </c>
      <c r="L57" s="155">
        <v>1.008</v>
      </c>
      <c r="N57" s="170" t="s">
        <v>1240</v>
      </c>
      <c r="O57" s="170" t="s">
        <v>2146</v>
      </c>
      <c r="P57" s="170" t="s">
        <v>1242</v>
      </c>
      <c r="Q57" s="170">
        <v>0.97499999999999998</v>
      </c>
      <c r="R57" s="170" t="s">
        <v>2147</v>
      </c>
      <c r="S57" s="171">
        <v>1.008</v>
      </c>
    </row>
    <row r="58" spans="2:19" ht="106.2" thickBot="1" x14ac:dyDescent="0.35">
      <c r="B58" s="153" t="s">
        <v>360</v>
      </c>
      <c r="C58" s="154" t="s">
        <v>1245</v>
      </c>
      <c r="D58" s="154" t="s">
        <v>1246</v>
      </c>
      <c r="E58" s="154">
        <v>0.45400000000000001</v>
      </c>
      <c r="F58" s="154" t="s">
        <v>1247</v>
      </c>
      <c r="G58" s="154">
        <v>1.2E-2</v>
      </c>
      <c r="H58" s="155" t="s">
        <v>2148</v>
      </c>
      <c r="I58" s="155" t="s">
        <v>1246</v>
      </c>
      <c r="J58" s="155">
        <v>0.48599999999999999</v>
      </c>
      <c r="K58" s="155" t="s">
        <v>2149</v>
      </c>
      <c r="L58" s="155">
        <v>1.0999999999999999E-2</v>
      </c>
      <c r="N58" s="170" t="s">
        <v>1244</v>
      </c>
      <c r="O58" s="170" t="s">
        <v>2148</v>
      </c>
      <c r="P58" s="170" t="s">
        <v>1246</v>
      </c>
      <c r="Q58" s="170">
        <v>0.48599999999999999</v>
      </c>
      <c r="R58" s="170" t="s">
        <v>2149</v>
      </c>
      <c r="S58" s="171">
        <v>1.0999999999999999E-2</v>
      </c>
    </row>
    <row r="59" spans="2:19" ht="66.599999999999994" thickBot="1" x14ac:dyDescent="0.35">
      <c r="B59" s="153" t="s">
        <v>361</v>
      </c>
      <c r="C59" s="154" t="s">
        <v>1249</v>
      </c>
      <c r="D59" s="154" t="s">
        <v>1250</v>
      </c>
      <c r="E59" s="154">
        <v>0.20300000000000001</v>
      </c>
      <c r="F59" s="154" t="s">
        <v>1251</v>
      </c>
      <c r="G59" s="154">
        <v>4.2999999999999997E-2</v>
      </c>
      <c r="H59" s="155" t="s">
        <v>2150</v>
      </c>
      <c r="I59" s="155" t="s">
        <v>1250</v>
      </c>
      <c r="J59" s="155">
        <v>0.14499999999999999</v>
      </c>
      <c r="K59" s="155" t="s">
        <v>2151</v>
      </c>
      <c r="L59" s="155">
        <v>2.1999999999999999E-2</v>
      </c>
      <c r="N59" s="170" t="s">
        <v>1248</v>
      </c>
      <c r="O59" s="170" t="s">
        <v>2150</v>
      </c>
      <c r="P59" s="170" t="s">
        <v>1250</v>
      </c>
      <c r="Q59" s="170">
        <v>0.14499999999999999</v>
      </c>
      <c r="R59" s="170" t="s">
        <v>2151</v>
      </c>
      <c r="S59" s="171">
        <v>2.1999999999999999E-2</v>
      </c>
    </row>
    <row r="60" spans="2:19" ht="106.2" thickBot="1" x14ac:dyDescent="0.35">
      <c r="B60" s="153" t="s">
        <v>362</v>
      </c>
      <c r="C60" s="154" t="s">
        <v>1253</v>
      </c>
      <c r="D60" s="154" t="s">
        <v>1254</v>
      </c>
      <c r="E60" s="154">
        <v>6.7000000000000004E-2</v>
      </c>
      <c r="F60" s="154" t="s">
        <v>1255</v>
      </c>
      <c r="G60" s="154">
        <v>3.2000000000000001E-2</v>
      </c>
      <c r="H60" s="155" t="s">
        <v>2152</v>
      </c>
      <c r="I60" s="155" t="s">
        <v>1254</v>
      </c>
      <c r="J60" s="155">
        <v>0.06</v>
      </c>
      <c r="K60" s="155" t="s">
        <v>2153</v>
      </c>
      <c r="L60" s="155">
        <v>2.9000000000000001E-2</v>
      </c>
      <c r="N60" s="170" t="s">
        <v>1252</v>
      </c>
      <c r="O60" s="170" t="s">
        <v>2152</v>
      </c>
      <c r="P60" s="170" t="s">
        <v>1254</v>
      </c>
      <c r="Q60" s="170">
        <v>0.06</v>
      </c>
      <c r="R60" s="170" t="s">
        <v>2153</v>
      </c>
      <c r="S60" s="171">
        <v>2.9000000000000001E-2</v>
      </c>
    </row>
    <row r="61" spans="2:19" ht="106.2" thickBot="1" x14ac:dyDescent="0.35">
      <c r="B61" s="153" t="s">
        <v>363</v>
      </c>
      <c r="C61" s="154" t="s">
        <v>1257</v>
      </c>
      <c r="D61" s="154" t="s">
        <v>1258</v>
      </c>
      <c r="E61" s="154">
        <v>3.9E-2</v>
      </c>
      <c r="F61" s="154" t="s">
        <v>1259</v>
      </c>
      <c r="G61" s="154">
        <v>1.2E-2</v>
      </c>
      <c r="H61" s="155" t="s">
        <v>2154</v>
      </c>
      <c r="I61" s="155" t="s">
        <v>1258</v>
      </c>
      <c r="J61" s="155">
        <v>3.2000000000000001E-2</v>
      </c>
      <c r="K61" s="155" t="s">
        <v>2155</v>
      </c>
      <c r="L61" s="155">
        <v>1.6E-2</v>
      </c>
      <c r="N61" s="170" t="s">
        <v>1256</v>
      </c>
      <c r="O61" s="170" t="s">
        <v>2154</v>
      </c>
      <c r="P61" s="170" t="s">
        <v>1258</v>
      </c>
      <c r="Q61" s="170">
        <v>3.2000000000000001E-2</v>
      </c>
      <c r="R61" s="170" t="s">
        <v>2155</v>
      </c>
      <c r="S61" s="171">
        <v>1.6E-2</v>
      </c>
    </row>
    <row r="62" spans="2:19" ht="145.80000000000001" thickBot="1" x14ac:dyDescent="0.35">
      <c r="B62" s="153" t="s">
        <v>364</v>
      </c>
      <c r="C62" s="154" t="s">
        <v>1261</v>
      </c>
      <c r="D62" s="154" t="s">
        <v>1262</v>
      </c>
      <c r="E62" s="154">
        <v>2.1000000000000001E-2</v>
      </c>
      <c r="F62" s="154" t="s">
        <v>1263</v>
      </c>
      <c r="G62" s="154">
        <v>4.0000000000000001E-3</v>
      </c>
      <c r="H62" s="155" t="s">
        <v>1838</v>
      </c>
      <c r="I62" s="155" t="s">
        <v>1262</v>
      </c>
      <c r="J62" s="155">
        <v>4.1000000000000002E-2</v>
      </c>
      <c r="K62" s="155" t="s">
        <v>2156</v>
      </c>
      <c r="L62" s="155">
        <v>1.4E-2</v>
      </c>
      <c r="N62" s="170" t="s">
        <v>1260</v>
      </c>
      <c r="O62" s="170" t="s">
        <v>1838</v>
      </c>
      <c r="P62" s="170" t="s">
        <v>1262</v>
      </c>
      <c r="Q62" s="170">
        <v>4.1000000000000002E-2</v>
      </c>
      <c r="R62" s="170" t="s">
        <v>2156</v>
      </c>
      <c r="S62" s="171">
        <v>1.4E-2</v>
      </c>
    </row>
    <row r="63" spans="2:19" ht="119.4" thickBot="1" x14ac:dyDescent="0.35">
      <c r="B63" s="153" t="s">
        <v>365</v>
      </c>
      <c r="C63" s="154" t="s">
        <v>1265</v>
      </c>
      <c r="D63" s="154" t="s">
        <v>1266</v>
      </c>
      <c r="E63" s="154">
        <v>4.0000000000000001E-3</v>
      </c>
      <c r="F63" s="154" t="s">
        <v>1267</v>
      </c>
      <c r="G63" s="154">
        <v>7.0000000000000001E-3</v>
      </c>
      <c r="H63" s="155" t="s">
        <v>2157</v>
      </c>
      <c r="I63" s="155" t="s">
        <v>1266</v>
      </c>
      <c r="J63" s="155">
        <v>1.0999999999999999E-2</v>
      </c>
      <c r="K63" s="155" t="s">
        <v>2158</v>
      </c>
      <c r="L63" s="155">
        <v>7.0000000000000001E-3</v>
      </c>
      <c r="N63" s="170" t="s">
        <v>1264</v>
      </c>
      <c r="O63" s="170" t="s">
        <v>2157</v>
      </c>
      <c r="P63" s="170" t="s">
        <v>1266</v>
      </c>
      <c r="Q63" s="170">
        <v>1.0999999999999999E-2</v>
      </c>
      <c r="R63" s="170" t="s">
        <v>2158</v>
      </c>
      <c r="S63" s="171">
        <v>7.0000000000000001E-3</v>
      </c>
    </row>
    <row r="64" spans="2:19" ht="79.8" thickBot="1" x14ac:dyDescent="0.35">
      <c r="B64" s="153" t="s">
        <v>366</v>
      </c>
      <c r="C64" s="154" t="s">
        <v>1269</v>
      </c>
      <c r="D64" s="154" t="s">
        <v>1270</v>
      </c>
      <c r="E64" s="154">
        <v>9.1999999999999998E-2</v>
      </c>
      <c r="F64" s="154" t="s">
        <v>1271</v>
      </c>
      <c r="G64" s="154">
        <v>4.0000000000000001E-3</v>
      </c>
      <c r="H64" s="155" t="s">
        <v>2159</v>
      </c>
      <c r="I64" s="155" t="s">
        <v>1270</v>
      </c>
      <c r="J64" s="155">
        <v>0.112</v>
      </c>
      <c r="K64" s="155" t="s">
        <v>2160</v>
      </c>
      <c r="L64" s="155">
        <v>3.0000000000000001E-3</v>
      </c>
      <c r="N64" s="170" t="s">
        <v>1268</v>
      </c>
      <c r="O64" s="170" t="s">
        <v>2159</v>
      </c>
      <c r="P64" s="170" t="s">
        <v>1270</v>
      </c>
      <c r="Q64" s="170">
        <v>0.112</v>
      </c>
      <c r="R64" s="170" t="s">
        <v>2160</v>
      </c>
      <c r="S64" s="171">
        <v>3.0000000000000001E-3</v>
      </c>
    </row>
    <row r="65" spans="2:19" ht="106.2" thickBot="1" x14ac:dyDescent="0.35">
      <c r="B65" s="153" t="s">
        <v>367</v>
      </c>
      <c r="C65" s="154" t="s">
        <v>1273</v>
      </c>
      <c r="D65" s="154" t="s">
        <v>1274</v>
      </c>
      <c r="E65" s="154">
        <v>2.5000000000000001E-2</v>
      </c>
      <c r="F65" s="154" t="s">
        <v>1275</v>
      </c>
      <c r="G65" s="154">
        <v>1E-3</v>
      </c>
      <c r="H65" s="155" t="s">
        <v>2161</v>
      </c>
      <c r="I65" s="155" t="s">
        <v>1274</v>
      </c>
      <c r="J65" s="155">
        <v>3.4000000000000002E-2</v>
      </c>
      <c r="K65" s="155" t="s">
        <v>2162</v>
      </c>
      <c r="L65" s="155">
        <v>0</v>
      </c>
      <c r="N65" s="170" t="s">
        <v>1272</v>
      </c>
      <c r="O65" s="170" t="s">
        <v>2161</v>
      </c>
      <c r="P65" s="170" t="s">
        <v>1274</v>
      </c>
      <c r="Q65" s="170">
        <v>3.4000000000000002E-2</v>
      </c>
      <c r="R65" s="170" t="s">
        <v>2162</v>
      </c>
      <c r="S65" s="171">
        <v>0</v>
      </c>
    </row>
    <row r="66" spans="2:19" ht="93" thickBot="1" x14ac:dyDescent="0.35">
      <c r="B66" s="153" t="s">
        <v>368</v>
      </c>
      <c r="C66" s="154" t="s">
        <v>1277</v>
      </c>
      <c r="D66" s="154" t="s">
        <v>1278</v>
      </c>
      <c r="E66" s="154">
        <v>0.04</v>
      </c>
      <c r="F66" s="154" t="s">
        <v>1279</v>
      </c>
      <c r="G66" s="154">
        <v>3.0000000000000001E-3</v>
      </c>
      <c r="H66" s="155" t="s">
        <v>2163</v>
      </c>
      <c r="I66" s="155" t="s">
        <v>1278</v>
      </c>
      <c r="J66" s="155">
        <v>4.9000000000000002E-2</v>
      </c>
      <c r="K66" s="155" t="s">
        <v>2164</v>
      </c>
      <c r="L66" s="155">
        <v>1E-3</v>
      </c>
      <c r="N66" s="170" t="s">
        <v>1276</v>
      </c>
      <c r="O66" s="170" t="s">
        <v>2163</v>
      </c>
      <c r="P66" s="170" t="s">
        <v>1278</v>
      </c>
      <c r="Q66" s="170">
        <v>4.9000000000000002E-2</v>
      </c>
      <c r="R66" s="170" t="s">
        <v>2164</v>
      </c>
      <c r="S66" s="171">
        <v>1E-3</v>
      </c>
    </row>
    <row r="67" spans="2:19" ht="79.8" thickBot="1" x14ac:dyDescent="0.35">
      <c r="B67" s="153" t="s">
        <v>369</v>
      </c>
      <c r="C67" s="154" t="s">
        <v>1281</v>
      </c>
      <c r="D67" s="154" t="s">
        <v>1282</v>
      </c>
      <c r="E67" s="154">
        <v>5.5E-2</v>
      </c>
      <c r="F67" s="154" t="s">
        <v>1283</v>
      </c>
      <c r="G67" s="154">
        <v>1.0999999999999999E-2</v>
      </c>
      <c r="H67" s="155" t="s">
        <v>2165</v>
      </c>
      <c r="I67" s="155" t="s">
        <v>1282</v>
      </c>
      <c r="J67" s="155">
        <v>5.3999999999999999E-2</v>
      </c>
      <c r="K67" s="155" t="s">
        <v>2166</v>
      </c>
      <c r="L67" s="155">
        <v>1.0999999999999999E-2</v>
      </c>
      <c r="N67" s="170" t="s">
        <v>1280</v>
      </c>
      <c r="O67" s="170" t="s">
        <v>2165</v>
      </c>
      <c r="P67" s="170" t="s">
        <v>1282</v>
      </c>
      <c r="Q67" s="170">
        <v>5.3999999999999999E-2</v>
      </c>
      <c r="R67" s="170" t="s">
        <v>2166</v>
      </c>
      <c r="S67" s="171">
        <v>1.0999999999999999E-2</v>
      </c>
    </row>
    <row r="68" spans="2:19" ht="93" thickBot="1" x14ac:dyDescent="0.35">
      <c r="B68" s="153" t="s">
        <v>370</v>
      </c>
      <c r="C68" s="154" t="s">
        <v>1285</v>
      </c>
      <c r="D68" s="154" t="s">
        <v>1286</v>
      </c>
      <c r="E68" s="154">
        <v>5.0999999999999997E-2</v>
      </c>
      <c r="F68" s="154" t="s">
        <v>1287</v>
      </c>
      <c r="G68" s="154">
        <v>1.6E-2</v>
      </c>
      <c r="H68" s="155" t="s">
        <v>2167</v>
      </c>
      <c r="I68" s="155" t="s">
        <v>1286</v>
      </c>
      <c r="J68" s="155">
        <v>4.4999999999999998E-2</v>
      </c>
      <c r="K68" s="155" t="s">
        <v>2168</v>
      </c>
      <c r="L68" s="155">
        <v>1.0999999999999999E-2</v>
      </c>
      <c r="N68" s="170" t="s">
        <v>1284</v>
      </c>
      <c r="O68" s="170" t="s">
        <v>2167</v>
      </c>
      <c r="P68" s="170" t="s">
        <v>1286</v>
      </c>
      <c r="Q68" s="170">
        <v>4.4999999999999998E-2</v>
      </c>
      <c r="R68" s="170" t="s">
        <v>2168</v>
      </c>
      <c r="S68" s="171">
        <v>1.0999999999999999E-2</v>
      </c>
    </row>
    <row r="69" spans="2:19" ht="15" thickBot="1" x14ac:dyDescent="0.35">
      <c r="B69" s="153" t="s">
        <v>371</v>
      </c>
      <c r="C69" s="154"/>
      <c r="D69" s="154"/>
      <c r="E69" s="154"/>
      <c r="F69" s="154"/>
      <c r="G69" s="154"/>
      <c r="H69" s="155"/>
      <c r="I69" s="155"/>
      <c r="J69" s="155"/>
      <c r="K69" s="155"/>
      <c r="L69" s="155"/>
      <c r="N69" s="170"/>
      <c r="O69" s="170"/>
      <c r="P69" s="170"/>
      <c r="Q69" s="170"/>
      <c r="R69" s="170"/>
      <c r="S69" s="171"/>
    </row>
    <row r="70" spans="2:19" ht="93" thickBot="1" x14ac:dyDescent="0.35">
      <c r="B70" s="153" t="s">
        <v>372</v>
      </c>
      <c r="C70" s="154" t="s">
        <v>1289</v>
      </c>
      <c r="D70" s="154" t="s">
        <v>1290</v>
      </c>
      <c r="E70" s="154">
        <v>3.1E-2</v>
      </c>
      <c r="F70" s="154" t="s">
        <v>1291</v>
      </c>
      <c r="G70" s="154">
        <v>2E-3</v>
      </c>
      <c r="H70" s="155" t="s">
        <v>2169</v>
      </c>
      <c r="I70" s="155" t="s">
        <v>1290</v>
      </c>
      <c r="J70" s="155">
        <v>0.03</v>
      </c>
      <c r="K70" s="155" t="s">
        <v>2170</v>
      </c>
      <c r="L70" s="155">
        <v>2E-3</v>
      </c>
      <c r="N70" s="170" t="s">
        <v>1288</v>
      </c>
      <c r="O70" s="170" t="s">
        <v>2169</v>
      </c>
      <c r="P70" s="170" t="s">
        <v>1290</v>
      </c>
      <c r="Q70" s="170">
        <v>0.03</v>
      </c>
      <c r="R70" s="170" t="s">
        <v>2170</v>
      </c>
      <c r="S70" s="171">
        <v>2E-3</v>
      </c>
    </row>
    <row r="71" spans="2:19" ht="93" thickBot="1" x14ac:dyDescent="0.35">
      <c r="B71" s="153" t="s">
        <v>373</v>
      </c>
      <c r="C71" s="154" t="s">
        <v>1265</v>
      </c>
      <c r="D71" s="154" t="s">
        <v>1293</v>
      </c>
      <c r="E71" s="154">
        <v>1.2999999999999999E-2</v>
      </c>
      <c r="F71" s="154" t="s">
        <v>1294</v>
      </c>
      <c r="G71" s="154">
        <v>5.0000000000000001E-3</v>
      </c>
      <c r="H71" s="155" t="s">
        <v>2171</v>
      </c>
      <c r="I71" s="155" t="s">
        <v>1293</v>
      </c>
      <c r="J71" s="155">
        <v>1.7999999999999999E-2</v>
      </c>
      <c r="K71" s="155" t="s">
        <v>2172</v>
      </c>
      <c r="L71" s="155">
        <v>4.0000000000000001E-3</v>
      </c>
      <c r="N71" s="170" t="s">
        <v>1292</v>
      </c>
      <c r="O71" s="170" t="s">
        <v>2171</v>
      </c>
      <c r="P71" s="170" t="s">
        <v>1293</v>
      </c>
      <c r="Q71" s="170">
        <v>1.7999999999999999E-2</v>
      </c>
      <c r="R71" s="170" t="s">
        <v>2172</v>
      </c>
      <c r="S71" s="171">
        <v>4.0000000000000001E-3</v>
      </c>
    </row>
    <row r="72" spans="2:19" ht="119.4" thickBot="1" x14ac:dyDescent="0.35">
      <c r="B72" s="153" t="s">
        <v>374</v>
      </c>
      <c r="C72" s="154" t="s">
        <v>1296</v>
      </c>
      <c r="D72" s="154" t="s">
        <v>1297</v>
      </c>
      <c r="E72" s="154">
        <v>1E-3</v>
      </c>
      <c r="F72" s="154" t="s">
        <v>1298</v>
      </c>
      <c r="G72" s="154">
        <v>1E-3</v>
      </c>
      <c r="H72" s="155" t="s">
        <v>2173</v>
      </c>
      <c r="I72" s="155" t="s">
        <v>1297</v>
      </c>
      <c r="J72" s="155">
        <v>4.0000000000000001E-3</v>
      </c>
      <c r="K72" s="155" t="s">
        <v>2174</v>
      </c>
      <c r="L72" s="155">
        <v>3.0000000000000001E-3</v>
      </c>
      <c r="N72" s="170" t="s">
        <v>1295</v>
      </c>
      <c r="O72" s="170" t="s">
        <v>2173</v>
      </c>
      <c r="P72" s="170" t="s">
        <v>1297</v>
      </c>
      <c r="Q72" s="170">
        <v>4.0000000000000001E-3</v>
      </c>
      <c r="R72" s="170" t="s">
        <v>2174</v>
      </c>
      <c r="S72" s="171">
        <v>3.0000000000000001E-3</v>
      </c>
    </row>
    <row r="73" spans="2:19" ht="106.2" thickBot="1" x14ac:dyDescent="0.35">
      <c r="B73" s="153" t="s">
        <v>375</v>
      </c>
      <c r="C73" s="154" t="s">
        <v>1300</v>
      </c>
      <c r="D73" s="154" t="s">
        <v>1301</v>
      </c>
      <c r="E73" s="154">
        <v>1E-3</v>
      </c>
      <c r="F73" s="154" t="s">
        <v>1302</v>
      </c>
      <c r="G73" s="154">
        <v>3.0000000000000001E-3</v>
      </c>
      <c r="H73" s="155" t="s">
        <v>2175</v>
      </c>
      <c r="I73" s="155" t="s">
        <v>1301</v>
      </c>
      <c r="J73" s="155">
        <v>2E-3</v>
      </c>
      <c r="K73" s="155" t="s">
        <v>2176</v>
      </c>
      <c r="L73" s="155">
        <v>3.0000000000000001E-3</v>
      </c>
      <c r="N73" s="170" t="s">
        <v>1299</v>
      </c>
      <c r="O73" s="170" t="s">
        <v>2175</v>
      </c>
      <c r="P73" s="170" t="s">
        <v>1301</v>
      </c>
      <c r="Q73" s="170">
        <v>2E-3</v>
      </c>
      <c r="R73" s="170" t="s">
        <v>2176</v>
      </c>
      <c r="S73" s="171">
        <v>3.0000000000000001E-3</v>
      </c>
    </row>
    <row r="74" spans="2:19" ht="119.4" thickBot="1" x14ac:dyDescent="0.35">
      <c r="B74" s="153" t="s">
        <v>376</v>
      </c>
      <c r="C74" s="154" t="s">
        <v>1304</v>
      </c>
      <c r="D74" s="154" t="s">
        <v>1305</v>
      </c>
      <c r="E74" s="154">
        <v>6.0000000000000001E-3</v>
      </c>
      <c r="F74" s="154" t="s">
        <v>1306</v>
      </c>
      <c r="G74" s="154">
        <v>4.0000000000000001E-3</v>
      </c>
      <c r="H74" s="155" t="s">
        <v>2047</v>
      </c>
      <c r="I74" s="155" t="s">
        <v>1305</v>
      </c>
      <c r="J74" s="155">
        <v>5.0000000000000001E-3</v>
      </c>
      <c r="K74" s="155" t="s">
        <v>2048</v>
      </c>
      <c r="L74" s="155">
        <v>3.0000000000000001E-3</v>
      </c>
      <c r="N74" s="170" t="s">
        <v>1303</v>
      </c>
      <c r="O74" s="170" t="s">
        <v>2047</v>
      </c>
      <c r="P74" s="170" t="s">
        <v>1305</v>
      </c>
      <c r="Q74" s="170">
        <v>5.0000000000000001E-3</v>
      </c>
      <c r="R74" s="170" t="s">
        <v>2048</v>
      </c>
      <c r="S74" s="171">
        <v>3.0000000000000001E-3</v>
      </c>
    </row>
    <row r="75" spans="2:19" ht="27" thickBot="1" x14ac:dyDescent="0.35">
      <c r="N75" s="170" t="s">
        <v>2049</v>
      </c>
      <c r="O75" s="170" t="s">
        <v>2050</v>
      </c>
      <c r="P75" s="170" t="s">
        <v>855</v>
      </c>
      <c r="Q75" s="170">
        <v>2.8000000000000001E-2</v>
      </c>
      <c r="R75" s="170" t="s">
        <v>855</v>
      </c>
      <c r="S75" s="171">
        <v>2.8000000000000001E-2</v>
      </c>
    </row>
    <row r="76" spans="2:19" ht="93" thickBot="1" x14ac:dyDescent="0.35">
      <c r="N76" s="170" t="s">
        <v>2051</v>
      </c>
      <c r="O76" s="170" t="s">
        <v>2052</v>
      </c>
      <c r="P76" s="170" t="s">
        <v>855</v>
      </c>
      <c r="Q76" s="170">
        <v>1.7999999999999999E-2</v>
      </c>
      <c r="R76" s="170" t="s">
        <v>855</v>
      </c>
      <c r="S76" s="171">
        <v>1.7999999999999999E-2</v>
      </c>
    </row>
    <row r="77" spans="2:19" ht="93" thickBot="1" x14ac:dyDescent="0.35">
      <c r="N77" s="170" t="s">
        <v>2053</v>
      </c>
      <c r="O77" s="170" t="s">
        <v>1872</v>
      </c>
      <c r="P77" s="170" t="s">
        <v>855</v>
      </c>
      <c r="Q77" s="170">
        <v>2.1000000000000001E-2</v>
      </c>
      <c r="R77" s="170" t="s">
        <v>855</v>
      </c>
      <c r="S77" s="171">
        <v>2.1000000000000001E-2</v>
      </c>
    </row>
  </sheetData>
  <mergeCells count="10">
    <mergeCell ref="S3:S4"/>
    <mergeCell ref="E3:E4"/>
    <mergeCell ref="G3:G4"/>
    <mergeCell ref="J3:J4"/>
    <mergeCell ref="L3:L4"/>
    <mergeCell ref="B2:B4"/>
    <mergeCell ref="C2:G2"/>
    <mergeCell ref="H2:L2"/>
    <mergeCell ref="N3:N4"/>
    <mergeCell ref="Q3:Q4"/>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65961-4E18-4265-BCA0-24624BF1D247}">
  <dimension ref="B1:L75"/>
  <sheetViews>
    <sheetView topLeftCell="H16" zoomScaleNormal="100" workbookViewId="0">
      <selection activeCell="AD27" sqref="AD27:AE27"/>
    </sheetView>
  </sheetViews>
  <sheetFormatPr defaultRowHeight="14.4" x14ac:dyDescent="0.3"/>
  <cols>
    <col min="13" max="13" width="3.77734375" customWidth="1"/>
    <col min="14" max="14" width="3.109375" customWidth="1"/>
  </cols>
  <sheetData>
    <row r="1" spans="2:12" ht="15" thickBot="1" x14ac:dyDescent="0.35">
      <c r="C1" t="s">
        <v>2054</v>
      </c>
      <c r="H1" s="201">
        <v>78200</v>
      </c>
      <c r="I1" s="201">
        <v>23317</v>
      </c>
      <c r="J1" s="202">
        <f>I1+421</f>
        <v>23738</v>
      </c>
      <c r="K1" s="202" t="s">
        <v>2486</v>
      </c>
    </row>
    <row r="2" spans="2:12" ht="15.75" customHeight="1" thickBot="1" x14ac:dyDescent="0.35">
      <c r="B2" s="287" t="s">
        <v>322</v>
      </c>
      <c r="C2" s="290" t="s">
        <v>323</v>
      </c>
      <c r="D2" s="291"/>
      <c r="E2" s="291"/>
      <c r="F2" s="291"/>
      <c r="G2" s="292"/>
      <c r="H2" s="293" t="s">
        <v>324</v>
      </c>
      <c r="I2" s="294"/>
      <c r="J2" s="294"/>
      <c r="K2" s="294"/>
      <c r="L2" s="295"/>
    </row>
    <row r="3" spans="2:12" ht="44.25" customHeight="1" x14ac:dyDescent="0.3">
      <c r="B3" s="288"/>
      <c r="C3" s="149" t="s">
        <v>325</v>
      </c>
      <c r="D3" s="149" t="s">
        <v>384</v>
      </c>
      <c r="E3" s="298" t="s">
        <v>327</v>
      </c>
      <c r="F3" s="149" t="s">
        <v>1492</v>
      </c>
      <c r="G3" s="298" t="s">
        <v>329</v>
      </c>
      <c r="H3" s="151" t="s">
        <v>325</v>
      </c>
      <c r="I3" s="151" t="s">
        <v>384</v>
      </c>
      <c r="J3" s="287" t="s">
        <v>327</v>
      </c>
      <c r="K3" s="151" t="s">
        <v>1492</v>
      </c>
      <c r="L3" s="287" t="s">
        <v>329</v>
      </c>
    </row>
    <row r="4" spans="2:12" ht="15" thickBot="1" x14ac:dyDescent="0.35">
      <c r="B4" s="289"/>
      <c r="C4" s="199" t="s">
        <v>1516</v>
      </c>
      <c r="D4" s="199" t="s">
        <v>1517</v>
      </c>
      <c r="E4" s="299"/>
      <c r="F4" s="150" t="s">
        <v>1518</v>
      </c>
      <c r="G4" s="299"/>
      <c r="H4" s="194" t="s">
        <v>2181</v>
      </c>
      <c r="I4" s="194" t="s">
        <v>2182</v>
      </c>
      <c r="J4" s="289"/>
      <c r="K4" s="152" t="s">
        <v>2183</v>
      </c>
      <c r="L4" s="289"/>
    </row>
    <row r="5" spans="2:12" ht="15" thickBot="1" x14ac:dyDescent="0.35">
      <c r="B5" s="180" t="s">
        <v>330</v>
      </c>
      <c r="C5" s="154" t="s">
        <v>1519</v>
      </c>
      <c r="D5" s="154" t="s">
        <v>1520</v>
      </c>
      <c r="E5" s="154">
        <v>0.182</v>
      </c>
      <c r="F5" s="154" t="s">
        <v>1521</v>
      </c>
      <c r="G5" s="154">
        <v>9.2999999999999999E-2</v>
      </c>
      <c r="H5" s="155" t="s">
        <v>2184</v>
      </c>
      <c r="I5" s="155" t="s">
        <v>2185</v>
      </c>
      <c r="J5" s="155">
        <v>0.20499999999999999</v>
      </c>
      <c r="K5" s="155" t="s">
        <v>2186</v>
      </c>
      <c r="L5" s="155">
        <v>0.10199999999999999</v>
      </c>
    </row>
    <row r="6" spans="2:12" ht="24.6" thickBot="1" x14ac:dyDescent="0.35">
      <c r="B6" s="180" t="s">
        <v>331</v>
      </c>
      <c r="C6" s="154" t="s">
        <v>1522</v>
      </c>
      <c r="D6" s="154" t="s">
        <v>1523</v>
      </c>
      <c r="E6" s="154">
        <v>4.7E-2</v>
      </c>
      <c r="F6" s="154" t="s">
        <v>1524</v>
      </c>
      <c r="G6" s="154">
        <v>1.2999999999999999E-2</v>
      </c>
      <c r="H6" s="155" t="s">
        <v>2187</v>
      </c>
      <c r="I6" s="155" t="s">
        <v>2188</v>
      </c>
      <c r="J6" s="155">
        <v>3.6999999999999998E-2</v>
      </c>
      <c r="K6" s="155" t="s">
        <v>2189</v>
      </c>
      <c r="L6" s="155">
        <v>6.0000000000000001E-3</v>
      </c>
    </row>
    <row r="7" spans="2:12" ht="23.4" thickBot="1" x14ac:dyDescent="0.35">
      <c r="B7" s="180" t="s">
        <v>1493</v>
      </c>
      <c r="C7" s="154"/>
      <c r="D7" s="154"/>
      <c r="E7" s="154"/>
      <c r="F7" s="154"/>
      <c r="G7" s="154"/>
      <c r="H7" s="155"/>
      <c r="I7" s="155"/>
      <c r="J7" s="155"/>
      <c r="K7" s="155"/>
      <c r="L7" s="155"/>
    </row>
    <row r="8" spans="2:12" ht="24.6" thickBot="1" x14ac:dyDescent="0.35">
      <c r="B8" s="181">
        <v>2007</v>
      </c>
      <c r="C8" s="154" t="s">
        <v>1525</v>
      </c>
      <c r="D8" s="154" t="s">
        <v>1526</v>
      </c>
      <c r="E8" s="154">
        <v>0.879</v>
      </c>
      <c r="F8" s="154" t="s">
        <v>1525</v>
      </c>
      <c r="G8" s="154">
        <v>1E-3</v>
      </c>
      <c r="H8" s="155" t="s">
        <v>2190</v>
      </c>
      <c r="I8" s="155" t="s">
        <v>2191</v>
      </c>
      <c r="J8" s="155">
        <v>0.88100000000000001</v>
      </c>
      <c r="K8" s="155" t="s">
        <v>2190</v>
      </c>
      <c r="L8" s="155">
        <v>1E-3</v>
      </c>
    </row>
    <row r="9" spans="2:12" ht="24.6" thickBot="1" x14ac:dyDescent="0.35">
      <c r="B9" s="181">
        <v>2008</v>
      </c>
      <c r="C9" s="154" t="s">
        <v>1527</v>
      </c>
      <c r="D9" s="154" t="s">
        <v>1528</v>
      </c>
      <c r="E9" s="154">
        <v>0.54600000000000004</v>
      </c>
      <c r="F9" s="154" t="s">
        <v>1529</v>
      </c>
      <c r="G9" s="154">
        <v>3.0000000000000001E-3</v>
      </c>
      <c r="H9" s="155" t="s">
        <v>2192</v>
      </c>
      <c r="I9" s="155" t="s">
        <v>2193</v>
      </c>
      <c r="J9" s="155">
        <v>0.53600000000000003</v>
      </c>
      <c r="K9" s="155" t="s">
        <v>2194</v>
      </c>
      <c r="L9" s="155">
        <v>4.0000000000000001E-3</v>
      </c>
    </row>
    <row r="10" spans="2:12" ht="24.6" thickBot="1" x14ac:dyDescent="0.35">
      <c r="B10" s="181">
        <v>2009</v>
      </c>
      <c r="C10" s="154" t="s">
        <v>1530</v>
      </c>
      <c r="D10" s="154" t="s">
        <v>1531</v>
      </c>
      <c r="E10" s="154">
        <v>0.377</v>
      </c>
      <c r="F10" s="154" t="s">
        <v>1532</v>
      </c>
      <c r="G10" s="154">
        <v>7.0000000000000001E-3</v>
      </c>
      <c r="H10" s="155" t="s">
        <v>2195</v>
      </c>
      <c r="I10" s="155" t="s">
        <v>2196</v>
      </c>
      <c r="J10" s="155">
        <v>0.36299999999999999</v>
      </c>
      <c r="K10" s="155" t="s">
        <v>2197</v>
      </c>
      <c r="L10" s="155">
        <v>8.9999999999999993E-3</v>
      </c>
    </row>
    <row r="11" spans="2:12" ht="24.6" thickBot="1" x14ac:dyDescent="0.35">
      <c r="B11" s="181">
        <v>2010</v>
      </c>
      <c r="C11" s="154" t="s">
        <v>1533</v>
      </c>
      <c r="D11" s="154" t="s">
        <v>1534</v>
      </c>
      <c r="E11" s="154">
        <v>0.151</v>
      </c>
      <c r="F11" s="154" t="s">
        <v>1535</v>
      </c>
      <c r="G11" s="154">
        <v>1.0999999999999999E-2</v>
      </c>
      <c r="H11" s="155" t="s">
        <v>2198</v>
      </c>
      <c r="I11" s="155" t="s">
        <v>2199</v>
      </c>
      <c r="J11" s="155">
        <v>0.127</v>
      </c>
      <c r="K11" s="155" t="s">
        <v>2200</v>
      </c>
      <c r="L11" s="155">
        <v>1.4E-2</v>
      </c>
    </row>
    <row r="12" spans="2:12" ht="24.6" thickBot="1" x14ac:dyDescent="0.35">
      <c r="B12" s="181">
        <v>2011</v>
      </c>
      <c r="C12" s="154" t="s">
        <v>1536</v>
      </c>
      <c r="D12" s="154" t="s">
        <v>1537</v>
      </c>
      <c r="E12" s="154">
        <v>2.4E-2</v>
      </c>
      <c r="F12" s="154" t="s">
        <v>1538</v>
      </c>
      <c r="G12" s="154">
        <v>8.0000000000000002E-3</v>
      </c>
      <c r="H12" s="155" t="s">
        <v>2201</v>
      </c>
      <c r="I12" s="155" t="s">
        <v>2202</v>
      </c>
      <c r="J12" s="155">
        <v>4.2999999999999997E-2</v>
      </c>
      <c r="K12" s="155" t="s">
        <v>2203</v>
      </c>
      <c r="L12" s="155">
        <v>1.0999999999999999E-2</v>
      </c>
    </row>
    <row r="13" spans="2:12" ht="24.6" thickBot="1" x14ac:dyDescent="0.35">
      <c r="B13" s="181">
        <v>2012</v>
      </c>
      <c r="C13" s="154" t="s">
        <v>1539</v>
      </c>
      <c r="D13" s="154" t="s">
        <v>1540</v>
      </c>
      <c r="E13" s="154">
        <v>0.255</v>
      </c>
      <c r="F13" s="154" t="s">
        <v>1541</v>
      </c>
      <c r="G13" s="154">
        <v>3.0000000000000001E-3</v>
      </c>
      <c r="H13" s="155" t="s">
        <v>2204</v>
      </c>
      <c r="I13" s="155" t="s">
        <v>2205</v>
      </c>
      <c r="J13" s="155">
        <v>0.26700000000000002</v>
      </c>
      <c r="K13" s="155" t="s">
        <v>2206</v>
      </c>
      <c r="L13" s="155">
        <v>2E-3</v>
      </c>
    </row>
    <row r="14" spans="2:12" ht="24.6" thickBot="1" x14ac:dyDescent="0.35">
      <c r="B14" s="181">
        <v>2013</v>
      </c>
      <c r="C14" s="154" t="s">
        <v>1542</v>
      </c>
      <c r="D14" s="154" t="s">
        <v>1543</v>
      </c>
      <c r="E14" s="154">
        <v>0.28100000000000003</v>
      </c>
      <c r="F14" s="154" t="s">
        <v>1544</v>
      </c>
      <c r="G14" s="154">
        <v>2E-3</v>
      </c>
      <c r="H14" s="155" t="s">
        <v>2207</v>
      </c>
      <c r="I14" s="155" t="s">
        <v>2208</v>
      </c>
      <c r="J14" s="155">
        <v>0.28100000000000003</v>
      </c>
      <c r="K14" s="155" t="s">
        <v>2209</v>
      </c>
      <c r="L14" s="155">
        <v>4.0000000000000001E-3</v>
      </c>
    </row>
    <row r="15" spans="2:12" ht="24.6" thickBot="1" x14ac:dyDescent="0.35">
      <c r="B15" s="181">
        <v>2014</v>
      </c>
      <c r="C15" s="154" t="s">
        <v>1545</v>
      </c>
      <c r="D15" s="154" t="s">
        <v>1546</v>
      </c>
      <c r="E15" s="154">
        <v>0.315</v>
      </c>
      <c r="F15" s="154" t="s">
        <v>1547</v>
      </c>
      <c r="G15" s="154">
        <v>1.2E-2</v>
      </c>
      <c r="H15" s="155" t="s">
        <v>2210</v>
      </c>
      <c r="I15" s="155" t="s">
        <v>2211</v>
      </c>
      <c r="J15" s="155">
        <v>0.309</v>
      </c>
      <c r="K15" s="155" t="s">
        <v>2212</v>
      </c>
      <c r="L15" s="155">
        <v>1.2E-2</v>
      </c>
    </row>
    <row r="16" spans="2:12" ht="24.6" thickBot="1" x14ac:dyDescent="0.35">
      <c r="B16" s="181">
        <v>2015</v>
      </c>
      <c r="C16" s="154" t="s">
        <v>1548</v>
      </c>
      <c r="D16" s="154" t="s">
        <v>1549</v>
      </c>
      <c r="E16" s="154">
        <v>0.307</v>
      </c>
      <c r="F16" s="154" t="s">
        <v>1550</v>
      </c>
      <c r="G16" s="154">
        <v>2E-3</v>
      </c>
      <c r="H16" s="155" t="s">
        <v>2213</v>
      </c>
      <c r="I16" s="155" t="s">
        <v>2214</v>
      </c>
      <c r="J16" s="155">
        <v>0.30199999999999999</v>
      </c>
      <c r="K16" s="155" t="s">
        <v>2215</v>
      </c>
      <c r="L16" s="155">
        <v>0.01</v>
      </c>
    </row>
    <row r="17" spans="2:12" ht="24.6" thickBot="1" x14ac:dyDescent="0.35">
      <c r="B17" s="181">
        <v>2016</v>
      </c>
      <c r="C17" s="154" t="s">
        <v>1551</v>
      </c>
      <c r="D17" s="154" t="s">
        <v>1552</v>
      </c>
      <c r="E17" s="154">
        <v>0.29799999999999999</v>
      </c>
      <c r="F17" s="154" t="s">
        <v>1553</v>
      </c>
      <c r="G17" s="154">
        <v>3.0000000000000001E-3</v>
      </c>
      <c r="H17" s="155" t="s">
        <v>2216</v>
      </c>
      <c r="I17" s="155" t="s">
        <v>2217</v>
      </c>
      <c r="J17" s="155">
        <v>0.28799999999999998</v>
      </c>
      <c r="K17" s="155" t="s">
        <v>2218</v>
      </c>
      <c r="L17" s="155">
        <v>3.0000000000000001E-3</v>
      </c>
    </row>
    <row r="18" spans="2:12" ht="24.6" thickBot="1" x14ac:dyDescent="0.35">
      <c r="B18" s="181">
        <v>2017</v>
      </c>
      <c r="C18" s="154" t="s">
        <v>1554</v>
      </c>
      <c r="D18" s="154" t="s">
        <v>1555</v>
      </c>
      <c r="E18" s="154">
        <v>0.27500000000000002</v>
      </c>
      <c r="F18" s="154" t="s">
        <v>1556</v>
      </c>
      <c r="G18" s="154">
        <v>1.0999999999999999E-2</v>
      </c>
      <c r="H18" s="155" t="s">
        <v>2219</v>
      </c>
      <c r="I18" s="155" t="s">
        <v>2220</v>
      </c>
      <c r="J18" s="155">
        <v>0.26400000000000001</v>
      </c>
      <c r="K18" s="155" t="s">
        <v>2221</v>
      </c>
      <c r="L18" s="155">
        <v>7.0000000000000001E-3</v>
      </c>
    </row>
    <row r="19" spans="2:12" ht="24.6" thickBot="1" x14ac:dyDescent="0.35">
      <c r="B19" s="181">
        <v>2018</v>
      </c>
      <c r="C19" s="154" t="s">
        <v>1557</v>
      </c>
      <c r="D19" s="154" t="s">
        <v>1558</v>
      </c>
      <c r="E19" s="154">
        <v>0.27400000000000002</v>
      </c>
      <c r="F19" s="154" t="s">
        <v>1559</v>
      </c>
      <c r="G19" s="154">
        <v>0</v>
      </c>
      <c r="H19" s="155" t="s">
        <v>2222</v>
      </c>
      <c r="I19" s="155" t="s">
        <v>2223</v>
      </c>
      <c r="J19" s="155">
        <v>0.26700000000000002</v>
      </c>
      <c r="K19" s="155" t="s">
        <v>2224</v>
      </c>
      <c r="L19" s="155">
        <v>3.0000000000000001E-3</v>
      </c>
    </row>
    <row r="20" spans="2:12" ht="24.6" thickBot="1" x14ac:dyDescent="0.35">
      <c r="B20" s="181">
        <v>2019</v>
      </c>
      <c r="C20" s="154" t="s">
        <v>1560</v>
      </c>
      <c r="D20" s="154" t="s">
        <v>1561</v>
      </c>
      <c r="E20" s="154">
        <v>0.26800000000000002</v>
      </c>
      <c r="F20" s="154" t="s">
        <v>1562</v>
      </c>
      <c r="G20" s="154">
        <v>0.01</v>
      </c>
      <c r="H20" s="155" t="s">
        <v>2225</v>
      </c>
      <c r="I20" s="155" t="s">
        <v>2226</v>
      </c>
      <c r="J20" s="155">
        <v>0.25900000000000001</v>
      </c>
      <c r="K20" s="155" t="s">
        <v>2227</v>
      </c>
      <c r="L20" s="155">
        <v>1.6E-2</v>
      </c>
    </row>
    <row r="21" spans="2:12" ht="24.6" thickBot="1" x14ac:dyDescent="0.35">
      <c r="B21" s="181">
        <v>2020</v>
      </c>
      <c r="C21" s="154" t="s">
        <v>1563</v>
      </c>
      <c r="D21" s="154" t="s">
        <v>1564</v>
      </c>
      <c r="E21" s="154">
        <v>0.22900000000000001</v>
      </c>
      <c r="F21" s="154" t="s">
        <v>1565</v>
      </c>
      <c r="G21" s="154">
        <v>2.1000000000000001E-2</v>
      </c>
      <c r="H21" s="155" t="s">
        <v>2228</v>
      </c>
      <c r="I21" s="155" t="s">
        <v>2229</v>
      </c>
      <c r="J21" s="155">
        <v>0.222</v>
      </c>
      <c r="K21" s="155" t="s">
        <v>2230</v>
      </c>
      <c r="L21" s="155">
        <v>1.2999999999999999E-2</v>
      </c>
    </row>
    <row r="22" spans="2:12" ht="24.6" thickBot="1" x14ac:dyDescent="0.35">
      <c r="B22" s="181">
        <v>2021</v>
      </c>
      <c r="C22" s="154" t="s">
        <v>1566</v>
      </c>
      <c r="D22" s="154" t="s">
        <v>1567</v>
      </c>
      <c r="E22" s="154">
        <v>0.23899999999999999</v>
      </c>
      <c r="F22" s="154" t="s">
        <v>1568</v>
      </c>
      <c r="G22" s="154">
        <v>3.0000000000000001E-3</v>
      </c>
      <c r="H22" s="155" t="s">
        <v>2231</v>
      </c>
      <c r="I22" s="155" t="s">
        <v>1567</v>
      </c>
      <c r="J22" s="155">
        <v>0.23100000000000001</v>
      </c>
      <c r="K22" s="155" t="s">
        <v>2232</v>
      </c>
      <c r="L22" s="155">
        <v>0.01</v>
      </c>
    </row>
    <row r="23" spans="2:12" ht="24.6" thickBot="1" x14ac:dyDescent="0.35">
      <c r="B23" s="181">
        <v>2022</v>
      </c>
      <c r="C23" s="154" t="s">
        <v>1569</v>
      </c>
      <c r="D23" s="154" t="s">
        <v>1570</v>
      </c>
      <c r="E23" s="154">
        <v>0.193</v>
      </c>
      <c r="F23" s="154" t="s">
        <v>1571</v>
      </c>
      <c r="G23" s="154">
        <v>6.0000000000000001E-3</v>
      </c>
      <c r="H23" s="155" t="s">
        <v>2233</v>
      </c>
      <c r="I23" s="155" t="s">
        <v>2234</v>
      </c>
      <c r="J23" s="155">
        <v>0.185</v>
      </c>
      <c r="K23" s="155" t="s">
        <v>2235</v>
      </c>
      <c r="L23" s="155">
        <v>7.0000000000000001E-3</v>
      </c>
    </row>
    <row r="24" spans="2:12" ht="46.2" thickBot="1" x14ac:dyDescent="0.35">
      <c r="B24" s="153" t="s">
        <v>1491</v>
      </c>
      <c r="C24" s="154" t="s">
        <v>1572</v>
      </c>
      <c r="D24" s="154" t="s">
        <v>1573</v>
      </c>
      <c r="E24" s="154">
        <v>5.2999999999999999E-2</v>
      </c>
      <c r="F24" s="154" t="s">
        <v>1574</v>
      </c>
      <c r="G24" s="154">
        <v>5.3999999999999999E-2</v>
      </c>
      <c r="H24" s="155" t="s">
        <v>2236</v>
      </c>
      <c r="I24" s="155" t="s">
        <v>2237</v>
      </c>
      <c r="J24" s="155">
        <v>5.8999999999999997E-2</v>
      </c>
      <c r="K24" s="155" t="s">
        <v>2238</v>
      </c>
      <c r="L24" s="155">
        <v>5.5E-2</v>
      </c>
    </row>
    <row r="25" spans="2:12" ht="15" thickBot="1" x14ac:dyDescent="0.35">
      <c r="B25" s="180" t="s">
        <v>333</v>
      </c>
      <c r="C25" s="154"/>
      <c r="D25" s="154"/>
      <c r="E25" s="154"/>
      <c r="F25" s="154"/>
      <c r="G25" s="154"/>
      <c r="H25" s="155"/>
      <c r="I25" s="155"/>
      <c r="J25" s="155"/>
      <c r="K25" s="155"/>
      <c r="L25" s="155"/>
    </row>
    <row r="26" spans="2:12" ht="24.6" thickBot="1" x14ac:dyDescent="0.35">
      <c r="B26" s="181" t="s">
        <v>1494</v>
      </c>
      <c r="C26" s="154" t="s">
        <v>1575</v>
      </c>
      <c r="D26" s="154" t="s">
        <v>1576</v>
      </c>
      <c r="E26" s="154">
        <v>3.2000000000000001E-2</v>
      </c>
      <c r="F26" s="154" t="s">
        <v>1577</v>
      </c>
      <c r="G26" s="154">
        <v>1.7000000000000001E-2</v>
      </c>
      <c r="H26" s="155" t="s">
        <v>2239</v>
      </c>
      <c r="I26" s="155" t="s">
        <v>2240</v>
      </c>
      <c r="J26" s="155">
        <v>3.3000000000000002E-2</v>
      </c>
      <c r="K26" s="155" t="s">
        <v>2241</v>
      </c>
      <c r="L26" s="155">
        <v>2.3E-2</v>
      </c>
    </row>
    <row r="27" spans="2:12" ht="24.6" thickBot="1" x14ac:dyDescent="0.35">
      <c r="B27" s="181" t="s">
        <v>1495</v>
      </c>
      <c r="C27" s="154" t="s">
        <v>1578</v>
      </c>
      <c r="D27" s="154" t="s">
        <v>1579</v>
      </c>
      <c r="E27" s="154">
        <v>8.2000000000000003E-2</v>
      </c>
      <c r="F27" s="154" t="s">
        <v>1580</v>
      </c>
      <c r="G27" s="154">
        <v>2.8000000000000001E-2</v>
      </c>
      <c r="H27" s="155" t="s">
        <v>2242</v>
      </c>
      <c r="I27" s="155" t="s">
        <v>2243</v>
      </c>
      <c r="J27" s="155">
        <v>8.5000000000000006E-2</v>
      </c>
      <c r="K27" s="155" t="s">
        <v>2244</v>
      </c>
      <c r="L27" s="155">
        <v>2.9000000000000001E-2</v>
      </c>
    </row>
    <row r="28" spans="2:12" ht="24.6" thickBot="1" x14ac:dyDescent="0.35">
      <c r="B28" s="181" t="s">
        <v>1496</v>
      </c>
      <c r="C28" s="154" t="s">
        <v>1581</v>
      </c>
      <c r="D28" s="154" t="s">
        <v>1582</v>
      </c>
      <c r="E28" s="154">
        <v>6.0000000000000001E-3</v>
      </c>
      <c r="F28" s="154" t="s">
        <v>1583</v>
      </c>
      <c r="G28" s="154">
        <v>0.04</v>
      </c>
      <c r="H28" s="155" t="s">
        <v>2245</v>
      </c>
      <c r="I28" s="155" t="s">
        <v>2246</v>
      </c>
      <c r="J28" s="155">
        <v>1.0999999999999999E-2</v>
      </c>
      <c r="K28" s="155" t="s">
        <v>2247</v>
      </c>
      <c r="L28" s="155">
        <v>0.05</v>
      </c>
    </row>
    <row r="29" spans="2:12" ht="24.6" thickBot="1" x14ac:dyDescent="0.35">
      <c r="B29" s="181" t="s">
        <v>337</v>
      </c>
      <c r="C29" s="154" t="s">
        <v>1584</v>
      </c>
      <c r="D29" s="154" t="s">
        <v>1585</v>
      </c>
      <c r="E29" s="154">
        <v>0.158</v>
      </c>
      <c r="F29" s="154" t="s">
        <v>1586</v>
      </c>
      <c r="G29" s="154">
        <v>8.9999999999999993E-3</v>
      </c>
      <c r="H29" s="155" t="s">
        <v>2248</v>
      </c>
      <c r="I29" s="155" t="s">
        <v>2249</v>
      </c>
      <c r="J29" s="155">
        <v>0.156</v>
      </c>
      <c r="K29" s="155" t="s">
        <v>2250</v>
      </c>
      <c r="L29" s="155">
        <v>1.7999999999999999E-2</v>
      </c>
    </row>
    <row r="30" spans="2:12" ht="23.4" thickBot="1" x14ac:dyDescent="0.35">
      <c r="B30" s="180" t="s">
        <v>338</v>
      </c>
      <c r="C30" s="154"/>
      <c r="D30" s="154"/>
      <c r="E30" s="154"/>
      <c r="F30" s="154"/>
      <c r="G30" s="154"/>
      <c r="H30" s="155"/>
      <c r="I30" s="155"/>
      <c r="J30" s="155"/>
      <c r="K30" s="155"/>
      <c r="L30" s="155"/>
    </row>
    <row r="31" spans="2:12" ht="24.6" thickBot="1" x14ac:dyDescent="0.35">
      <c r="B31" s="181" t="s">
        <v>1497</v>
      </c>
      <c r="C31" s="154" t="s">
        <v>1587</v>
      </c>
      <c r="D31" s="154" t="s">
        <v>1588</v>
      </c>
      <c r="E31" s="154">
        <v>3.0000000000000001E-3</v>
      </c>
      <c r="F31" s="154" t="s">
        <v>1589</v>
      </c>
      <c r="G31" s="154">
        <v>1.2999999999999999E-2</v>
      </c>
      <c r="H31" s="155" t="s">
        <v>2251</v>
      </c>
      <c r="I31" s="155" t="s">
        <v>2252</v>
      </c>
      <c r="J31" s="155">
        <v>1E-3</v>
      </c>
      <c r="K31" s="155" t="s">
        <v>2253</v>
      </c>
      <c r="L31" s="155">
        <v>0.02</v>
      </c>
    </row>
    <row r="32" spans="2:12" ht="24.6" thickBot="1" x14ac:dyDescent="0.35">
      <c r="B32" s="181" t="s">
        <v>1498</v>
      </c>
      <c r="C32" s="154" t="s">
        <v>1590</v>
      </c>
      <c r="D32" s="154" t="s">
        <v>1591</v>
      </c>
      <c r="E32" s="154">
        <v>2.1999999999999999E-2</v>
      </c>
      <c r="F32" s="154" t="s">
        <v>1592</v>
      </c>
      <c r="G32" s="154">
        <v>2.1000000000000001E-2</v>
      </c>
      <c r="H32" s="155" t="s">
        <v>2254</v>
      </c>
      <c r="I32" s="155" t="s">
        <v>2255</v>
      </c>
      <c r="J32" s="155">
        <v>2.1000000000000001E-2</v>
      </c>
      <c r="K32" s="155" t="s">
        <v>2256</v>
      </c>
      <c r="L32" s="155">
        <v>0.02</v>
      </c>
    </row>
    <row r="33" spans="2:12" ht="24.6" thickBot="1" x14ac:dyDescent="0.35">
      <c r="B33" s="181" t="s">
        <v>1499</v>
      </c>
      <c r="C33" s="154" t="s">
        <v>1593</v>
      </c>
      <c r="D33" s="154" t="s">
        <v>1594</v>
      </c>
      <c r="E33" s="154">
        <v>3.7999999999999999E-2</v>
      </c>
      <c r="F33" s="154" t="s">
        <v>1595</v>
      </c>
      <c r="G33" s="154">
        <v>1E-3</v>
      </c>
      <c r="H33" s="155" t="s">
        <v>2257</v>
      </c>
      <c r="I33" s="155" t="s">
        <v>2258</v>
      </c>
      <c r="J33" s="155">
        <v>3.4000000000000002E-2</v>
      </c>
      <c r="K33" s="155" t="s">
        <v>2259</v>
      </c>
      <c r="L33" s="155">
        <v>8.9999999999999993E-3</v>
      </c>
    </row>
    <row r="34" spans="2:12" ht="24.6" thickBot="1" x14ac:dyDescent="0.35">
      <c r="B34" s="181" t="s">
        <v>1500</v>
      </c>
      <c r="C34" s="154" t="s">
        <v>1596</v>
      </c>
      <c r="D34" s="154" t="s">
        <v>1597</v>
      </c>
      <c r="E34" s="154">
        <v>5.3999999999999999E-2</v>
      </c>
      <c r="F34" s="154" t="s">
        <v>1598</v>
      </c>
      <c r="G34" s="154">
        <v>3.0000000000000001E-3</v>
      </c>
      <c r="H34" s="155" t="s">
        <v>2260</v>
      </c>
      <c r="I34" s="155" t="s">
        <v>2261</v>
      </c>
      <c r="J34" s="155">
        <v>5.5E-2</v>
      </c>
      <c r="K34" s="155" t="s">
        <v>2262</v>
      </c>
      <c r="L34" s="155">
        <v>0.01</v>
      </c>
    </row>
    <row r="35" spans="2:12" ht="15" thickBot="1" x14ac:dyDescent="0.35">
      <c r="B35" s="180" t="s">
        <v>342</v>
      </c>
      <c r="C35" s="154"/>
      <c r="D35" s="154"/>
      <c r="E35" s="154"/>
      <c r="F35" s="154"/>
      <c r="G35" s="154"/>
      <c r="H35" s="155"/>
      <c r="I35" s="155"/>
      <c r="J35" s="155"/>
      <c r="K35" s="155"/>
      <c r="L35" s="155"/>
    </row>
    <row r="36" spans="2:12" ht="24.6" thickBot="1" x14ac:dyDescent="0.35">
      <c r="B36" s="181" t="s">
        <v>1498</v>
      </c>
      <c r="C36" s="154" t="s">
        <v>1599</v>
      </c>
      <c r="D36" s="154" t="s">
        <v>1600</v>
      </c>
      <c r="E36" s="154">
        <v>0.04</v>
      </c>
      <c r="F36" s="154" t="s">
        <v>1601</v>
      </c>
      <c r="G36" s="154">
        <v>8.0000000000000002E-3</v>
      </c>
      <c r="H36" s="155" t="s">
        <v>2263</v>
      </c>
      <c r="I36" s="155" t="s">
        <v>2264</v>
      </c>
      <c r="J36" s="155">
        <v>4.5999999999999999E-2</v>
      </c>
      <c r="K36" s="155" t="s">
        <v>2265</v>
      </c>
      <c r="L36" s="155">
        <v>0</v>
      </c>
    </row>
    <row r="37" spans="2:12" ht="24.6" thickBot="1" x14ac:dyDescent="0.35">
      <c r="B37" s="181" t="s">
        <v>1497</v>
      </c>
      <c r="C37" s="154" t="s">
        <v>1602</v>
      </c>
      <c r="D37" s="154" t="s">
        <v>1603</v>
      </c>
      <c r="E37" s="154">
        <v>6.3E-2</v>
      </c>
      <c r="F37" s="154" t="s">
        <v>1604</v>
      </c>
      <c r="G37" s="154">
        <v>3.0000000000000001E-3</v>
      </c>
      <c r="H37" s="155" t="s">
        <v>2266</v>
      </c>
      <c r="I37" s="155" t="s">
        <v>2267</v>
      </c>
      <c r="J37" s="155">
        <v>6.6000000000000003E-2</v>
      </c>
      <c r="K37" s="155" t="s">
        <v>2268</v>
      </c>
      <c r="L37" s="155">
        <v>0.01</v>
      </c>
    </row>
    <row r="38" spans="2:12" ht="24.6" thickBot="1" x14ac:dyDescent="0.35">
      <c r="B38" s="181" t="s">
        <v>1499</v>
      </c>
      <c r="C38" s="154" t="s">
        <v>1605</v>
      </c>
      <c r="D38" s="154" t="s">
        <v>1606</v>
      </c>
      <c r="E38" s="154">
        <v>0.151</v>
      </c>
      <c r="F38" s="154" t="s">
        <v>1607</v>
      </c>
      <c r="G38" s="154">
        <v>1.2E-2</v>
      </c>
      <c r="H38" s="155" t="s">
        <v>2269</v>
      </c>
      <c r="I38" s="155" t="s">
        <v>2270</v>
      </c>
      <c r="J38" s="155">
        <v>0.14599999999999999</v>
      </c>
      <c r="K38" s="155" t="s">
        <v>2271</v>
      </c>
      <c r="L38" s="155">
        <v>1E-3</v>
      </c>
    </row>
    <row r="39" spans="2:12" ht="24.6" thickBot="1" x14ac:dyDescent="0.35">
      <c r="B39" s="181" t="s">
        <v>1500</v>
      </c>
      <c r="C39" s="154" t="s">
        <v>1608</v>
      </c>
      <c r="D39" s="154" t="s">
        <v>1609</v>
      </c>
      <c r="E39" s="154">
        <v>0.04</v>
      </c>
      <c r="F39" s="154" t="s">
        <v>1610</v>
      </c>
      <c r="G39" s="154">
        <v>4.0000000000000001E-3</v>
      </c>
      <c r="H39" s="155" t="s">
        <v>2272</v>
      </c>
      <c r="I39" s="155" t="s">
        <v>2273</v>
      </c>
      <c r="J39" s="155">
        <v>2.9000000000000001E-2</v>
      </c>
      <c r="K39" s="155" t="s">
        <v>2274</v>
      </c>
      <c r="L39" s="155">
        <v>5.0000000000000001E-3</v>
      </c>
    </row>
    <row r="40" spans="2:12" ht="23.4" thickBot="1" x14ac:dyDescent="0.35">
      <c r="B40" s="180" t="s">
        <v>343</v>
      </c>
      <c r="C40" s="154"/>
      <c r="D40" s="154"/>
      <c r="E40" s="154"/>
      <c r="F40" s="154"/>
      <c r="G40" s="154"/>
      <c r="H40" s="155"/>
      <c r="I40" s="155"/>
      <c r="J40" s="155"/>
      <c r="K40" s="155"/>
      <c r="L40" s="155"/>
    </row>
    <row r="41" spans="2:12" ht="34.799999999999997" thickBot="1" x14ac:dyDescent="0.35">
      <c r="B41" s="181" t="s">
        <v>1501</v>
      </c>
      <c r="C41" s="154" t="s">
        <v>1611</v>
      </c>
      <c r="D41" s="154" t="s">
        <v>1612</v>
      </c>
      <c r="E41" s="154">
        <v>2.4E-2</v>
      </c>
      <c r="F41" s="154" t="s">
        <v>1613</v>
      </c>
      <c r="G41" s="154">
        <v>4.2999999999999997E-2</v>
      </c>
      <c r="H41" s="155" t="s">
        <v>2275</v>
      </c>
      <c r="I41" s="155" t="s">
        <v>2276</v>
      </c>
      <c r="J41" s="155">
        <v>4.5999999999999999E-2</v>
      </c>
      <c r="K41" s="155" t="s">
        <v>2277</v>
      </c>
      <c r="L41" s="155">
        <v>3.9E-2</v>
      </c>
    </row>
    <row r="42" spans="2:12" ht="34.799999999999997" thickBot="1" x14ac:dyDescent="0.35">
      <c r="B42" s="181" t="s">
        <v>1502</v>
      </c>
      <c r="C42" s="154" t="s">
        <v>1614</v>
      </c>
      <c r="D42" s="154" t="s">
        <v>1615</v>
      </c>
      <c r="E42" s="154">
        <v>3.9E-2</v>
      </c>
      <c r="F42" s="154" t="s">
        <v>1616</v>
      </c>
      <c r="G42" s="154">
        <v>3.4000000000000002E-2</v>
      </c>
      <c r="H42" s="155" t="s">
        <v>2278</v>
      </c>
      <c r="I42" s="155" t="s">
        <v>2279</v>
      </c>
      <c r="J42" s="155">
        <v>3.9E-2</v>
      </c>
      <c r="K42" s="155" t="s">
        <v>2280</v>
      </c>
      <c r="L42" s="155">
        <v>0.03</v>
      </c>
    </row>
    <row r="43" spans="2:12" ht="34.799999999999997" thickBot="1" x14ac:dyDescent="0.35">
      <c r="B43" s="181" t="s">
        <v>1503</v>
      </c>
      <c r="C43" s="154" t="s">
        <v>1617</v>
      </c>
      <c r="D43" s="154" t="s">
        <v>1618</v>
      </c>
      <c r="E43" s="154">
        <v>5.5E-2</v>
      </c>
      <c r="F43" s="154" t="s">
        <v>1619</v>
      </c>
      <c r="G43" s="154">
        <v>5.8000000000000003E-2</v>
      </c>
      <c r="H43" s="155" t="s">
        <v>2281</v>
      </c>
      <c r="I43" s="155" t="s">
        <v>2282</v>
      </c>
      <c r="J43" s="155">
        <v>6.8000000000000005E-2</v>
      </c>
      <c r="K43" s="155" t="s">
        <v>2283</v>
      </c>
      <c r="L43" s="155">
        <v>5.5E-2</v>
      </c>
    </row>
    <row r="44" spans="2:12" ht="34.799999999999997" thickBot="1" x14ac:dyDescent="0.35">
      <c r="B44" s="181" t="s">
        <v>1504</v>
      </c>
      <c r="C44" s="154" t="s">
        <v>1620</v>
      </c>
      <c r="D44" s="154" t="s">
        <v>1621</v>
      </c>
      <c r="E44" s="154">
        <v>0.03</v>
      </c>
      <c r="F44" s="154" t="s">
        <v>1622</v>
      </c>
      <c r="G44" s="154">
        <v>1.9E-2</v>
      </c>
      <c r="H44" s="155" t="s">
        <v>2284</v>
      </c>
      <c r="I44" s="155" t="s">
        <v>2285</v>
      </c>
      <c r="J44" s="155">
        <v>3.3000000000000002E-2</v>
      </c>
      <c r="K44" s="155" t="s">
        <v>2286</v>
      </c>
      <c r="L44" s="155">
        <v>2.7E-2</v>
      </c>
    </row>
    <row r="45" spans="2:12" ht="23.4" thickBot="1" x14ac:dyDescent="0.35">
      <c r="B45" s="180" t="s">
        <v>348</v>
      </c>
      <c r="C45" s="154"/>
      <c r="D45" s="154"/>
      <c r="E45" s="154"/>
      <c r="F45" s="154"/>
      <c r="G45" s="154"/>
      <c r="H45" s="155"/>
      <c r="I45" s="155"/>
      <c r="J45" s="155"/>
      <c r="K45" s="155"/>
      <c r="L45" s="155"/>
    </row>
    <row r="46" spans="2:12" ht="23.4" thickBot="1" x14ac:dyDescent="0.35">
      <c r="B46" s="180" t="s">
        <v>349</v>
      </c>
      <c r="C46" s="154" t="s">
        <v>1623</v>
      </c>
      <c r="D46" s="154" t="s">
        <v>1624</v>
      </c>
      <c r="E46" s="154">
        <v>1E-3</v>
      </c>
      <c r="F46" s="154" t="s">
        <v>1625</v>
      </c>
      <c r="G46" s="154">
        <v>4.0000000000000001E-3</v>
      </c>
      <c r="H46" s="155" t="s">
        <v>2287</v>
      </c>
      <c r="I46" s="155" t="s">
        <v>1694</v>
      </c>
      <c r="J46" s="155">
        <v>4.0000000000000001E-3</v>
      </c>
      <c r="K46" s="155" t="s">
        <v>2288</v>
      </c>
      <c r="L46" s="155">
        <v>5.0000000000000001E-3</v>
      </c>
    </row>
    <row r="47" spans="2:12" ht="24.6" thickBot="1" x14ac:dyDescent="0.35">
      <c r="B47" s="180" t="s">
        <v>1505</v>
      </c>
      <c r="C47" s="154" t="s">
        <v>1626</v>
      </c>
      <c r="D47" s="154" t="s">
        <v>1627</v>
      </c>
      <c r="E47" s="154">
        <v>7.0000000000000001E-3</v>
      </c>
      <c r="F47" s="154" t="s">
        <v>1628</v>
      </c>
      <c r="G47" s="154">
        <v>0.02</v>
      </c>
      <c r="H47" s="155" t="s">
        <v>2289</v>
      </c>
      <c r="I47" s="155" t="s">
        <v>2290</v>
      </c>
      <c r="J47" s="155">
        <v>1E-3</v>
      </c>
      <c r="K47" s="155" t="s">
        <v>2291</v>
      </c>
      <c r="L47" s="155">
        <v>1.9E-2</v>
      </c>
    </row>
    <row r="48" spans="2:12" ht="34.799999999999997" thickBot="1" x14ac:dyDescent="0.35">
      <c r="B48" s="180" t="s">
        <v>351</v>
      </c>
      <c r="C48" s="154" t="s">
        <v>1629</v>
      </c>
      <c r="D48" s="154" t="s">
        <v>1630</v>
      </c>
      <c r="E48" s="154">
        <v>0.30499999999999999</v>
      </c>
      <c r="F48" s="154" t="s">
        <v>1631</v>
      </c>
      <c r="G48" s="154">
        <v>2.1999999999999999E-2</v>
      </c>
      <c r="H48" s="155" t="s">
        <v>2292</v>
      </c>
      <c r="I48" s="155" t="s">
        <v>2293</v>
      </c>
      <c r="J48" s="155">
        <v>0.31</v>
      </c>
      <c r="K48" s="155" t="s">
        <v>2294</v>
      </c>
      <c r="L48" s="155">
        <v>2.4E-2</v>
      </c>
    </row>
    <row r="49" spans="2:12" ht="24.6" thickBot="1" x14ac:dyDescent="0.35">
      <c r="B49" s="180" t="s">
        <v>1506</v>
      </c>
      <c r="C49" s="154" t="s">
        <v>1632</v>
      </c>
      <c r="D49" s="154" t="s">
        <v>1633</v>
      </c>
      <c r="E49" s="154">
        <v>9.6000000000000002E-2</v>
      </c>
      <c r="F49" s="154" t="s">
        <v>1634</v>
      </c>
      <c r="G49" s="154">
        <v>0.02</v>
      </c>
      <c r="H49" s="155" t="s">
        <v>2295</v>
      </c>
      <c r="I49" s="155" t="s">
        <v>2296</v>
      </c>
      <c r="J49" s="155">
        <v>0.12</v>
      </c>
      <c r="K49" s="155" t="s">
        <v>2297</v>
      </c>
      <c r="L49" s="155">
        <v>2.3E-2</v>
      </c>
    </row>
    <row r="50" spans="2:12" ht="57.6" thickBot="1" x14ac:dyDescent="0.35">
      <c r="B50" s="180" t="s">
        <v>353</v>
      </c>
      <c r="C50" s="154" t="s">
        <v>1635</v>
      </c>
      <c r="D50" s="154" t="s">
        <v>1636</v>
      </c>
      <c r="E50" s="154">
        <v>9.0999999999999998E-2</v>
      </c>
      <c r="F50" s="154" t="s">
        <v>1637</v>
      </c>
      <c r="G50" s="154">
        <v>2.3E-2</v>
      </c>
      <c r="H50" s="155" t="s">
        <v>2298</v>
      </c>
      <c r="I50" s="155" t="s">
        <v>2299</v>
      </c>
      <c r="J50" s="155">
        <v>9.4E-2</v>
      </c>
      <c r="K50" s="155" t="s">
        <v>2300</v>
      </c>
      <c r="L50" s="155">
        <v>1.4999999999999999E-2</v>
      </c>
    </row>
    <row r="51" spans="2:12" ht="34.799999999999997" thickBot="1" x14ac:dyDescent="0.35">
      <c r="B51" s="180" t="s">
        <v>354</v>
      </c>
      <c r="C51" s="154" t="s">
        <v>1638</v>
      </c>
      <c r="D51" s="154" t="s">
        <v>1639</v>
      </c>
      <c r="E51" s="154">
        <v>2.5000000000000001E-2</v>
      </c>
      <c r="F51" s="154" t="s">
        <v>1640</v>
      </c>
      <c r="G51" s="154">
        <v>0</v>
      </c>
      <c r="H51" s="155" t="s">
        <v>2301</v>
      </c>
      <c r="I51" s="155" t="s">
        <v>2302</v>
      </c>
      <c r="J51" s="155">
        <v>3.4000000000000002E-2</v>
      </c>
      <c r="K51" s="155" t="s">
        <v>2303</v>
      </c>
      <c r="L51" s="155">
        <v>5.0000000000000001E-3</v>
      </c>
    </row>
    <row r="52" spans="2:12" ht="23.4" thickBot="1" x14ac:dyDescent="0.35">
      <c r="B52" s="180" t="s">
        <v>355</v>
      </c>
      <c r="C52" s="154"/>
      <c r="D52" s="154"/>
      <c r="E52" s="154"/>
      <c r="F52" s="154"/>
      <c r="G52" s="154"/>
      <c r="H52" s="155"/>
      <c r="I52" s="155"/>
      <c r="J52" s="155"/>
      <c r="K52" s="155"/>
      <c r="L52" s="155"/>
    </row>
    <row r="53" spans="2:12" ht="24.6" thickBot="1" x14ac:dyDescent="0.35">
      <c r="B53" s="180" t="s">
        <v>356</v>
      </c>
      <c r="C53" s="154" t="s">
        <v>1641</v>
      </c>
      <c r="D53" s="154" t="s">
        <v>1642</v>
      </c>
      <c r="E53" s="154">
        <v>0.04</v>
      </c>
      <c r="F53" s="154" t="s">
        <v>1643</v>
      </c>
      <c r="G53" s="154">
        <v>9.0999999999999998E-2</v>
      </c>
      <c r="H53" s="155" t="s">
        <v>2304</v>
      </c>
      <c r="I53" s="155" t="s">
        <v>2305</v>
      </c>
      <c r="J53" s="155">
        <v>4.3999999999999997E-2</v>
      </c>
      <c r="K53" s="155" t="s">
        <v>2306</v>
      </c>
      <c r="L53" s="155">
        <v>8.5000000000000006E-2</v>
      </c>
    </row>
    <row r="54" spans="2:12" ht="24.6" thickBot="1" x14ac:dyDescent="0.35">
      <c r="B54" s="180" t="s">
        <v>1507</v>
      </c>
      <c r="C54" s="154" t="s">
        <v>855</v>
      </c>
      <c r="D54" s="154" t="s">
        <v>1644</v>
      </c>
      <c r="E54" s="154">
        <v>0.20100000000000001</v>
      </c>
      <c r="F54" s="154" t="s">
        <v>1645</v>
      </c>
      <c r="G54" s="154">
        <v>0.376</v>
      </c>
      <c r="H54" s="155" t="s">
        <v>855</v>
      </c>
      <c r="I54" s="155" t="s">
        <v>2307</v>
      </c>
      <c r="J54" s="155">
        <v>0.2</v>
      </c>
      <c r="K54" s="155" t="s">
        <v>2308</v>
      </c>
      <c r="L54" s="155">
        <v>0.36399999999999999</v>
      </c>
    </row>
    <row r="55" spans="2:12" ht="24.6" thickBot="1" x14ac:dyDescent="0.35">
      <c r="B55" s="180" t="s">
        <v>357</v>
      </c>
      <c r="C55" s="154" t="s">
        <v>1646</v>
      </c>
      <c r="D55" s="154" t="s">
        <v>1647</v>
      </c>
      <c r="E55" s="154">
        <v>0.20399999999999999</v>
      </c>
      <c r="F55" s="154" t="s">
        <v>1648</v>
      </c>
      <c r="G55" s="154">
        <v>5.8000000000000003E-2</v>
      </c>
      <c r="H55" s="155" t="s">
        <v>2309</v>
      </c>
      <c r="I55" s="155" t="s">
        <v>2310</v>
      </c>
      <c r="J55" s="155">
        <v>0.19</v>
      </c>
      <c r="K55" s="155" t="s">
        <v>2311</v>
      </c>
      <c r="L55" s="155">
        <v>0.06</v>
      </c>
    </row>
    <row r="56" spans="2:12" ht="24.6" thickBot="1" x14ac:dyDescent="0.35">
      <c r="B56" s="180" t="s">
        <v>1508</v>
      </c>
      <c r="C56" s="154" t="s">
        <v>1649</v>
      </c>
      <c r="D56" s="154" t="s">
        <v>1650</v>
      </c>
      <c r="E56" s="154">
        <v>0.20100000000000001</v>
      </c>
      <c r="F56" s="154" t="s">
        <v>1651</v>
      </c>
      <c r="G56" s="154">
        <v>0.35499999999999998</v>
      </c>
      <c r="H56" s="155" t="s">
        <v>2312</v>
      </c>
      <c r="I56" s="155" t="s">
        <v>2313</v>
      </c>
      <c r="J56" s="155">
        <v>0.38700000000000001</v>
      </c>
      <c r="K56" s="155" t="s">
        <v>2314</v>
      </c>
      <c r="L56" s="155">
        <v>0.52100000000000002</v>
      </c>
    </row>
    <row r="57" spans="2:12" ht="24.6" thickBot="1" x14ac:dyDescent="0.35">
      <c r="B57" s="180" t="s">
        <v>359</v>
      </c>
      <c r="C57" s="154" t="s">
        <v>1652</v>
      </c>
      <c r="D57" s="154" t="s">
        <v>1653</v>
      </c>
      <c r="E57" s="154">
        <v>0.186</v>
      </c>
      <c r="F57" s="154" t="s">
        <v>1654</v>
      </c>
      <c r="G57" s="154">
        <v>8.6999999999999994E-2</v>
      </c>
      <c r="H57" s="155" t="s">
        <v>2315</v>
      </c>
      <c r="I57" s="155" t="s">
        <v>2316</v>
      </c>
      <c r="J57" s="155">
        <v>0.155</v>
      </c>
      <c r="K57" s="155" t="s">
        <v>2317</v>
      </c>
      <c r="L57" s="155">
        <v>8.2000000000000003E-2</v>
      </c>
    </row>
    <row r="58" spans="2:12" ht="24.6" thickBot="1" x14ac:dyDescent="0.35">
      <c r="B58" s="180" t="s">
        <v>360</v>
      </c>
      <c r="C58" s="154" t="s">
        <v>1655</v>
      </c>
      <c r="D58" s="154" t="s">
        <v>1656</v>
      </c>
      <c r="E58" s="154">
        <v>2.1999999999999999E-2</v>
      </c>
      <c r="F58" s="154" t="s">
        <v>1657</v>
      </c>
      <c r="G58" s="154">
        <v>3.5000000000000003E-2</v>
      </c>
      <c r="H58" s="155" t="s">
        <v>2318</v>
      </c>
      <c r="I58" s="155" t="s">
        <v>2319</v>
      </c>
      <c r="J58" s="155">
        <v>2.5999999999999999E-2</v>
      </c>
      <c r="K58" s="155" t="s">
        <v>2320</v>
      </c>
      <c r="L58" s="155">
        <v>0.05</v>
      </c>
    </row>
    <row r="59" spans="2:12" ht="24.6" thickBot="1" x14ac:dyDescent="0.35">
      <c r="B59" s="180" t="s">
        <v>361</v>
      </c>
      <c r="C59" s="154" t="s">
        <v>1658</v>
      </c>
      <c r="D59" s="154" t="s">
        <v>1659</v>
      </c>
      <c r="E59" s="154">
        <v>1.0999999999999999E-2</v>
      </c>
      <c r="F59" s="154" t="s">
        <v>1660</v>
      </c>
      <c r="G59" s="154">
        <v>0.03</v>
      </c>
      <c r="H59" s="155" t="s">
        <v>2321</v>
      </c>
      <c r="I59" s="155" t="s">
        <v>2322</v>
      </c>
      <c r="J59" s="155">
        <v>1.7999999999999999E-2</v>
      </c>
      <c r="K59" s="155" t="s">
        <v>2323</v>
      </c>
      <c r="L59" s="155">
        <v>2.5000000000000001E-2</v>
      </c>
    </row>
    <row r="60" spans="2:12" ht="24.6" thickBot="1" x14ac:dyDescent="0.35">
      <c r="B60" s="180" t="s">
        <v>362</v>
      </c>
      <c r="C60" s="154" t="s">
        <v>1661</v>
      </c>
      <c r="D60" s="154" t="s">
        <v>1662</v>
      </c>
      <c r="E60" s="154">
        <v>3.2000000000000001E-2</v>
      </c>
      <c r="F60" s="154" t="s">
        <v>1663</v>
      </c>
      <c r="G60" s="154">
        <v>3.7999999999999999E-2</v>
      </c>
      <c r="H60" s="155" t="s">
        <v>2324</v>
      </c>
      <c r="I60" s="155" t="s">
        <v>2325</v>
      </c>
      <c r="J60" s="155">
        <v>2.7E-2</v>
      </c>
      <c r="K60" s="155" t="s">
        <v>2326</v>
      </c>
      <c r="L60" s="155">
        <v>4.2999999999999997E-2</v>
      </c>
    </row>
    <row r="61" spans="2:12" ht="34.799999999999997" thickBot="1" x14ac:dyDescent="0.35">
      <c r="B61" s="180" t="s">
        <v>1509</v>
      </c>
      <c r="C61" s="154" t="s">
        <v>1664</v>
      </c>
      <c r="D61" s="154" t="s">
        <v>1665</v>
      </c>
      <c r="E61" s="154">
        <v>7.9000000000000001E-2</v>
      </c>
      <c r="F61" s="154" t="s">
        <v>1666</v>
      </c>
      <c r="G61" s="154">
        <v>3.0000000000000001E-3</v>
      </c>
      <c r="H61" s="155" t="s">
        <v>2327</v>
      </c>
      <c r="I61" s="155" t="s">
        <v>2328</v>
      </c>
      <c r="J61" s="155">
        <v>6.8000000000000005E-2</v>
      </c>
      <c r="K61" s="155" t="s">
        <v>2329</v>
      </c>
      <c r="L61" s="155">
        <v>1.0999999999999999E-2</v>
      </c>
    </row>
    <row r="62" spans="2:12" ht="114.6" thickBot="1" x14ac:dyDescent="0.35">
      <c r="B62" s="180" t="s">
        <v>1510</v>
      </c>
      <c r="C62" s="154" t="s">
        <v>1667</v>
      </c>
      <c r="D62" s="154" t="s">
        <v>948</v>
      </c>
      <c r="E62" s="154">
        <v>6.7000000000000004E-2</v>
      </c>
      <c r="F62" s="154" t="s">
        <v>1668</v>
      </c>
      <c r="G62" s="154">
        <v>1.2E-2</v>
      </c>
      <c r="H62" s="155" t="s">
        <v>2330</v>
      </c>
      <c r="I62" s="155" t="s">
        <v>2331</v>
      </c>
      <c r="J62" s="155">
        <v>0.10199999999999999</v>
      </c>
      <c r="K62" s="155" t="s">
        <v>2330</v>
      </c>
      <c r="L62" s="155">
        <v>1.0999999999999999E-2</v>
      </c>
    </row>
    <row r="63" spans="2:12" ht="24.6" thickBot="1" x14ac:dyDescent="0.35">
      <c r="B63" s="180" t="s">
        <v>365</v>
      </c>
      <c r="C63" s="154" t="s">
        <v>1669</v>
      </c>
      <c r="D63" s="154" t="s">
        <v>1670</v>
      </c>
      <c r="E63" s="154">
        <v>2.4E-2</v>
      </c>
      <c r="F63" s="154" t="s">
        <v>1671</v>
      </c>
      <c r="G63" s="154">
        <v>3.0000000000000001E-3</v>
      </c>
      <c r="H63" s="155" t="s">
        <v>2332</v>
      </c>
      <c r="I63" s="155" t="s">
        <v>2333</v>
      </c>
      <c r="J63" s="155">
        <v>3.3000000000000002E-2</v>
      </c>
      <c r="K63" s="155" t="s">
        <v>2334</v>
      </c>
      <c r="L63" s="155">
        <v>8.0000000000000002E-3</v>
      </c>
    </row>
    <row r="64" spans="2:12" ht="24.6" thickBot="1" x14ac:dyDescent="0.35">
      <c r="B64" s="180" t="s">
        <v>366</v>
      </c>
      <c r="C64" s="154" t="s">
        <v>1672</v>
      </c>
      <c r="D64" s="154" t="s">
        <v>1673</v>
      </c>
      <c r="E64" s="154">
        <v>8.8999999999999996E-2</v>
      </c>
      <c r="F64" s="154" t="s">
        <v>1674</v>
      </c>
      <c r="G64" s="154">
        <v>1.0999999999999999E-2</v>
      </c>
      <c r="H64" s="155" t="s">
        <v>2335</v>
      </c>
      <c r="I64" s="155" t="s">
        <v>2336</v>
      </c>
      <c r="J64" s="155">
        <v>8.6999999999999994E-2</v>
      </c>
      <c r="K64" s="155" t="s">
        <v>2337</v>
      </c>
      <c r="L64" s="155">
        <v>1.7999999999999999E-2</v>
      </c>
    </row>
    <row r="65" spans="2:12" ht="34.799999999999997" thickBot="1" x14ac:dyDescent="0.35">
      <c r="B65" s="180" t="s">
        <v>1511</v>
      </c>
      <c r="C65" s="154" t="s">
        <v>1675</v>
      </c>
      <c r="D65" s="154" t="s">
        <v>1676</v>
      </c>
      <c r="E65" s="154">
        <v>1.7999999999999999E-2</v>
      </c>
      <c r="F65" s="154" t="s">
        <v>1677</v>
      </c>
      <c r="G65" s="154">
        <v>1.4E-2</v>
      </c>
      <c r="H65" s="155" t="s">
        <v>2338</v>
      </c>
      <c r="I65" s="155" t="s">
        <v>2339</v>
      </c>
      <c r="J65" s="155">
        <v>1.6E-2</v>
      </c>
      <c r="K65" s="155" t="s">
        <v>2340</v>
      </c>
      <c r="L65" s="155">
        <v>6.0000000000000001E-3</v>
      </c>
    </row>
    <row r="66" spans="2:12" ht="24.6" thickBot="1" x14ac:dyDescent="0.35">
      <c r="B66" s="180" t="s">
        <v>368</v>
      </c>
      <c r="C66" s="154" t="s">
        <v>1678</v>
      </c>
      <c r="D66" s="154" t="s">
        <v>1679</v>
      </c>
      <c r="E66" s="154">
        <v>3.6999999999999998E-2</v>
      </c>
      <c r="F66" s="154" t="s">
        <v>1680</v>
      </c>
      <c r="G66" s="154">
        <v>0.01</v>
      </c>
      <c r="H66" s="155" t="s">
        <v>2341</v>
      </c>
      <c r="I66" s="155" t="s">
        <v>2342</v>
      </c>
      <c r="J66" s="155">
        <v>3.6999999999999998E-2</v>
      </c>
      <c r="K66" s="155" t="s">
        <v>2343</v>
      </c>
      <c r="L66" s="155">
        <v>3.0000000000000001E-3</v>
      </c>
    </row>
    <row r="67" spans="2:12" ht="24.6" thickBot="1" x14ac:dyDescent="0.35">
      <c r="B67" s="180" t="s">
        <v>369</v>
      </c>
      <c r="C67" s="154" t="s">
        <v>1681</v>
      </c>
      <c r="D67" s="154" t="s">
        <v>1682</v>
      </c>
      <c r="E67" s="154">
        <v>4.5999999999999999E-2</v>
      </c>
      <c r="F67" s="154" t="s">
        <v>1683</v>
      </c>
      <c r="G67" s="154">
        <v>1.6E-2</v>
      </c>
      <c r="H67" s="155" t="s">
        <v>2344</v>
      </c>
      <c r="I67" s="155" t="s">
        <v>2345</v>
      </c>
      <c r="J67" s="155">
        <v>3.7999999999999999E-2</v>
      </c>
      <c r="K67" s="155" t="s">
        <v>2346</v>
      </c>
      <c r="L67" s="155">
        <v>2.5000000000000001E-2</v>
      </c>
    </row>
    <row r="68" spans="2:12" ht="34.799999999999997" thickBot="1" x14ac:dyDescent="0.35">
      <c r="B68" s="180" t="s">
        <v>370</v>
      </c>
      <c r="C68" s="154" t="s">
        <v>1684</v>
      </c>
      <c r="D68" s="154" t="s">
        <v>1685</v>
      </c>
      <c r="E68" s="154">
        <v>7.0000000000000007E-2</v>
      </c>
      <c r="F68" s="154" t="s">
        <v>1686</v>
      </c>
      <c r="G68" s="154">
        <v>4.0000000000000001E-3</v>
      </c>
      <c r="H68" s="155" t="s">
        <v>2347</v>
      </c>
      <c r="I68" s="155" t="s">
        <v>2348</v>
      </c>
      <c r="J68" s="155">
        <v>5.8000000000000003E-2</v>
      </c>
      <c r="K68" s="155" t="s">
        <v>2349</v>
      </c>
      <c r="L68" s="155">
        <v>0</v>
      </c>
    </row>
    <row r="69" spans="2:12" ht="34.799999999999997" thickBot="1" x14ac:dyDescent="0.35">
      <c r="B69" s="180" t="s">
        <v>371</v>
      </c>
      <c r="C69" s="154"/>
      <c r="D69" s="154"/>
      <c r="E69" s="154"/>
      <c r="F69" s="154"/>
      <c r="G69" s="154"/>
      <c r="H69" s="155"/>
      <c r="I69" s="155"/>
      <c r="J69" s="155"/>
      <c r="K69" s="155"/>
      <c r="L69" s="155"/>
    </row>
    <row r="70" spans="2:12" ht="24.6" thickBot="1" x14ac:dyDescent="0.35">
      <c r="B70" s="180" t="s">
        <v>372</v>
      </c>
      <c r="C70" s="154" t="s">
        <v>1687</v>
      </c>
      <c r="D70" s="154" t="s">
        <v>1688</v>
      </c>
      <c r="E70" s="154">
        <v>3.9E-2</v>
      </c>
      <c r="F70" s="154" t="s">
        <v>1689</v>
      </c>
      <c r="G70" s="154">
        <v>6.0000000000000001E-3</v>
      </c>
      <c r="H70" s="155" t="s">
        <v>2350</v>
      </c>
      <c r="I70" s="155" t="s">
        <v>2351</v>
      </c>
      <c r="J70" s="155">
        <v>3.7999999999999999E-2</v>
      </c>
      <c r="K70" s="155" t="s">
        <v>2352</v>
      </c>
      <c r="L70" s="155">
        <v>5.0000000000000001E-3</v>
      </c>
    </row>
    <row r="71" spans="2:12" ht="24.6" thickBot="1" x14ac:dyDescent="0.35">
      <c r="B71" s="180" t="s">
        <v>373</v>
      </c>
      <c r="C71" s="154" t="s">
        <v>1690</v>
      </c>
      <c r="D71" s="154" t="s">
        <v>1691</v>
      </c>
      <c r="E71" s="154">
        <v>3.4000000000000002E-2</v>
      </c>
      <c r="F71" s="154" t="s">
        <v>1692</v>
      </c>
      <c r="G71" s="154">
        <v>3.0000000000000001E-3</v>
      </c>
      <c r="H71" s="155" t="s">
        <v>2353</v>
      </c>
      <c r="I71" s="155" t="s">
        <v>2354</v>
      </c>
      <c r="J71" s="155">
        <v>3.7999999999999999E-2</v>
      </c>
      <c r="K71" s="155" t="s">
        <v>2355</v>
      </c>
      <c r="L71" s="155">
        <v>8.9999999999999993E-3</v>
      </c>
    </row>
    <row r="72" spans="2:12" ht="23.4" thickBot="1" x14ac:dyDescent="0.35">
      <c r="B72" s="180" t="s">
        <v>374</v>
      </c>
      <c r="C72" s="154" t="s">
        <v>1693</v>
      </c>
      <c r="D72" s="154" t="s">
        <v>1694</v>
      </c>
      <c r="E72" s="154">
        <v>1.4999999999999999E-2</v>
      </c>
      <c r="F72" s="154" t="s">
        <v>1695</v>
      </c>
      <c r="G72" s="154">
        <v>1.4999999999999999E-2</v>
      </c>
      <c r="H72" s="155" t="s">
        <v>2356</v>
      </c>
      <c r="I72" s="155" t="s">
        <v>2357</v>
      </c>
      <c r="J72" s="155">
        <v>1.6E-2</v>
      </c>
      <c r="K72" s="155" t="s">
        <v>2358</v>
      </c>
      <c r="L72" s="155">
        <v>1.7000000000000001E-2</v>
      </c>
    </row>
    <row r="73" spans="2:12" ht="23.4" thickBot="1" x14ac:dyDescent="0.35">
      <c r="B73" s="180" t="s">
        <v>1512</v>
      </c>
      <c r="C73" s="154" t="s">
        <v>1696</v>
      </c>
      <c r="D73" s="154" t="s">
        <v>1697</v>
      </c>
      <c r="E73" s="154">
        <v>1.9E-2</v>
      </c>
      <c r="F73" s="154" t="s">
        <v>1698</v>
      </c>
      <c r="G73" s="154">
        <v>1.0999999999999999E-2</v>
      </c>
      <c r="H73" s="155" t="s">
        <v>2359</v>
      </c>
      <c r="I73" s="155" t="s">
        <v>2360</v>
      </c>
      <c r="J73" s="155">
        <v>1.7000000000000001E-2</v>
      </c>
      <c r="K73" s="155" t="s">
        <v>2361</v>
      </c>
      <c r="L73" s="155">
        <v>6.0000000000000001E-3</v>
      </c>
    </row>
    <row r="74" spans="2:12" ht="46.2" thickBot="1" x14ac:dyDescent="0.35">
      <c r="B74" s="180" t="s">
        <v>376</v>
      </c>
      <c r="C74" s="154" t="s">
        <v>1699</v>
      </c>
      <c r="D74" s="154" t="s">
        <v>1700</v>
      </c>
      <c r="E74" s="154">
        <v>2E-3</v>
      </c>
      <c r="F74" s="154" t="s">
        <v>1701</v>
      </c>
      <c r="G74" s="154">
        <v>8.0000000000000002E-3</v>
      </c>
      <c r="H74" s="155" t="s">
        <v>2362</v>
      </c>
      <c r="I74" s="155" t="s">
        <v>2363</v>
      </c>
      <c r="J74" s="155">
        <v>1E-3</v>
      </c>
      <c r="K74" s="155" t="s">
        <v>2364</v>
      </c>
      <c r="L74" s="155">
        <v>6.0000000000000001E-3</v>
      </c>
    </row>
    <row r="75" spans="2:12" ht="34.799999999999997" thickBot="1" x14ac:dyDescent="0.35">
      <c r="B75" s="180" t="s">
        <v>2365</v>
      </c>
      <c r="C75" s="154" t="s">
        <v>1702</v>
      </c>
      <c r="D75" s="154" t="s">
        <v>1703</v>
      </c>
      <c r="E75" s="154"/>
      <c r="F75" s="154" t="s">
        <v>1704</v>
      </c>
      <c r="G75" s="154"/>
      <c r="H75" s="155"/>
      <c r="I75" s="155"/>
      <c r="J75" s="155"/>
      <c r="K75" s="155"/>
      <c r="L75" s="155"/>
    </row>
  </sheetData>
  <mergeCells count="7">
    <mergeCell ref="B2:B4"/>
    <mergeCell ref="C2:G2"/>
    <mergeCell ref="H2:L2"/>
    <mergeCell ref="E3:E4"/>
    <mergeCell ref="G3:G4"/>
    <mergeCell ref="J3:J4"/>
    <mergeCell ref="L3:L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EAA6B-5A40-4D50-A845-0C8335700EC3}">
  <dimension ref="A1:AC77"/>
  <sheetViews>
    <sheetView topLeftCell="C1" zoomScaleNormal="100" workbookViewId="0">
      <selection activeCell="H13" sqref="H13:L13"/>
    </sheetView>
  </sheetViews>
  <sheetFormatPr defaultRowHeight="14.4" x14ac:dyDescent="0.3"/>
  <cols>
    <col min="7" max="7" width="26.44140625" customWidth="1"/>
  </cols>
  <sheetData>
    <row r="1" spans="1:29" ht="29.4" thickBot="1" x14ac:dyDescent="0.35">
      <c r="A1" t="s">
        <v>1513</v>
      </c>
      <c r="G1" s="204" t="s">
        <v>2487</v>
      </c>
      <c r="H1">
        <v>24963</v>
      </c>
      <c r="I1" s="203">
        <f>88511-H1</f>
        <v>63548</v>
      </c>
      <c r="M1" t="s">
        <v>2366</v>
      </c>
    </row>
    <row r="2" spans="1:29" ht="15" thickBot="1" x14ac:dyDescent="0.35">
      <c r="B2" s="182"/>
      <c r="C2" s="290" t="s">
        <v>323</v>
      </c>
      <c r="D2" s="291"/>
      <c r="E2" s="291"/>
      <c r="F2" s="291"/>
      <c r="G2" s="292"/>
      <c r="H2" s="293" t="s">
        <v>324</v>
      </c>
      <c r="I2" s="294"/>
      <c r="J2" s="294"/>
      <c r="K2" s="294"/>
      <c r="L2" s="295"/>
      <c r="O2" t="s">
        <v>2483</v>
      </c>
      <c r="P2" t="s">
        <v>2485</v>
      </c>
      <c r="V2" t="s">
        <v>2484</v>
      </c>
    </row>
    <row r="3" spans="1:29" ht="44.25" customHeight="1" x14ac:dyDescent="0.3">
      <c r="B3" s="287" t="s">
        <v>322</v>
      </c>
      <c r="C3" s="149" t="s">
        <v>325</v>
      </c>
      <c r="D3" s="149" t="s">
        <v>357</v>
      </c>
      <c r="E3" s="298" t="s">
        <v>327</v>
      </c>
      <c r="F3" s="149" t="s">
        <v>1514</v>
      </c>
      <c r="G3" s="298" t="s">
        <v>329</v>
      </c>
      <c r="H3" s="151" t="s">
        <v>325</v>
      </c>
      <c r="I3" s="151" t="s">
        <v>357</v>
      </c>
      <c r="J3" s="287" t="s">
        <v>327</v>
      </c>
      <c r="K3" s="151" t="s">
        <v>1514</v>
      </c>
      <c r="L3" s="287" t="s">
        <v>329</v>
      </c>
      <c r="N3" s="296" t="s">
        <v>322</v>
      </c>
      <c r="O3" s="168" t="s">
        <v>1078</v>
      </c>
      <c r="P3" s="168" t="s">
        <v>357</v>
      </c>
      <c r="Q3" s="296" t="s">
        <v>1081</v>
      </c>
      <c r="R3" s="168" t="s">
        <v>357</v>
      </c>
      <c r="S3" s="296" t="s">
        <v>1083</v>
      </c>
      <c r="U3" s="296" t="s">
        <v>322</v>
      </c>
      <c r="V3" s="168" t="s">
        <v>1078</v>
      </c>
      <c r="W3" s="168" t="s">
        <v>357</v>
      </c>
      <c r="X3" s="296" t="s">
        <v>1081</v>
      </c>
      <c r="Y3" s="168" t="s">
        <v>357</v>
      </c>
      <c r="Z3" s="296" t="s">
        <v>1083</v>
      </c>
    </row>
    <row r="4" spans="1:29" ht="28.2" thickBot="1" x14ac:dyDescent="0.35">
      <c r="B4" s="289"/>
      <c r="C4" s="199" t="s">
        <v>1705</v>
      </c>
      <c r="D4" s="199" t="s">
        <v>1706</v>
      </c>
      <c r="E4" s="299"/>
      <c r="F4" s="150" t="s">
        <v>1707</v>
      </c>
      <c r="G4" s="299"/>
      <c r="H4" s="196" t="s">
        <v>2367</v>
      </c>
      <c r="I4" s="200" t="s">
        <v>1706</v>
      </c>
      <c r="J4" s="289"/>
      <c r="K4" s="152" t="s">
        <v>2368</v>
      </c>
      <c r="L4" s="289"/>
      <c r="N4" s="297"/>
      <c r="O4" s="197" t="s">
        <v>2367</v>
      </c>
      <c r="P4" s="198" t="s">
        <v>1706</v>
      </c>
      <c r="Q4" s="297"/>
      <c r="R4" s="169" t="s">
        <v>2368</v>
      </c>
      <c r="S4" s="297"/>
      <c r="U4" s="297"/>
      <c r="V4" s="198" t="s">
        <v>1705</v>
      </c>
      <c r="W4" s="198" t="s">
        <v>1706</v>
      </c>
      <c r="X4" s="297"/>
      <c r="Y4" s="169" t="s">
        <v>1707</v>
      </c>
      <c r="Z4" s="297"/>
      <c r="AC4" s="10"/>
    </row>
    <row r="5" spans="1:29" ht="93" thickBot="1" x14ac:dyDescent="0.35">
      <c r="B5" s="180" t="s">
        <v>330</v>
      </c>
      <c r="C5" s="154" t="s">
        <v>1708</v>
      </c>
      <c r="D5" s="154" t="s">
        <v>1709</v>
      </c>
      <c r="E5" s="154">
        <v>0.39600000000000002</v>
      </c>
      <c r="F5" s="154" t="s">
        <v>1710</v>
      </c>
      <c r="G5" s="154">
        <v>4.3999999999999997E-2</v>
      </c>
      <c r="H5" s="155" t="s">
        <v>2369</v>
      </c>
      <c r="I5" s="155" t="s">
        <v>1709</v>
      </c>
      <c r="J5" s="155">
        <v>0.30499999999999999</v>
      </c>
      <c r="K5" s="155" t="s">
        <v>2370</v>
      </c>
      <c r="L5" s="155">
        <v>1.7000000000000001E-2</v>
      </c>
      <c r="N5" s="170" t="s">
        <v>1084</v>
      </c>
      <c r="O5" s="170" t="s">
        <v>2369</v>
      </c>
      <c r="P5" s="170" t="s">
        <v>1709</v>
      </c>
      <c r="Q5" s="170">
        <v>0.30499999999999999</v>
      </c>
      <c r="R5" s="170" t="s">
        <v>2370</v>
      </c>
      <c r="S5" s="171">
        <v>1.7000000000000001E-2</v>
      </c>
      <c r="U5" s="170" t="s">
        <v>1084</v>
      </c>
      <c r="V5" s="170" t="s">
        <v>1708</v>
      </c>
      <c r="W5" s="170" t="s">
        <v>1709</v>
      </c>
      <c r="X5" s="170">
        <v>0.39600000000000002</v>
      </c>
      <c r="Y5" s="170" t="s">
        <v>1710</v>
      </c>
      <c r="Z5" s="171">
        <v>4.3999999999999997E-2</v>
      </c>
    </row>
    <row r="6" spans="1:29" ht="53.4" thickBot="1" x14ac:dyDescent="0.35">
      <c r="B6" s="180" t="s">
        <v>331</v>
      </c>
      <c r="C6" s="154" t="s">
        <v>1711</v>
      </c>
      <c r="D6" s="154" t="s">
        <v>1712</v>
      </c>
      <c r="E6" s="154">
        <v>6.7000000000000004E-2</v>
      </c>
      <c r="F6" s="154" t="s">
        <v>1713</v>
      </c>
      <c r="G6" s="154">
        <v>1.2E-2</v>
      </c>
      <c r="H6" s="155" t="s">
        <v>2371</v>
      </c>
      <c r="I6" s="155" t="s">
        <v>1712</v>
      </c>
      <c r="J6" s="155">
        <v>6.8000000000000005E-2</v>
      </c>
      <c r="K6" s="155" t="s">
        <v>2372</v>
      </c>
      <c r="L6" s="155">
        <v>1.7999999999999999E-2</v>
      </c>
      <c r="N6" s="170" t="s">
        <v>1088</v>
      </c>
      <c r="O6" s="170" t="s">
        <v>2371</v>
      </c>
      <c r="P6" s="170" t="s">
        <v>1712</v>
      </c>
      <c r="Q6" s="170">
        <v>6.8000000000000005E-2</v>
      </c>
      <c r="R6" s="170" t="s">
        <v>2372</v>
      </c>
      <c r="S6" s="171">
        <v>1.7999999999999999E-2</v>
      </c>
      <c r="U6" s="170" t="s">
        <v>1088</v>
      </c>
      <c r="V6" s="170" t="s">
        <v>1711</v>
      </c>
      <c r="W6" s="170" t="s">
        <v>1712</v>
      </c>
      <c r="X6" s="170">
        <v>6.7000000000000004E-2</v>
      </c>
      <c r="Y6" s="170" t="s">
        <v>1713</v>
      </c>
      <c r="Z6" s="171">
        <v>1.2E-2</v>
      </c>
    </row>
    <row r="7" spans="1:29" ht="27" thickBot="1" x14ac:dyDescent="0.35">
      <c r="B7" s="180" t="s">
        <v>332</v>
      </c>
      <c r="C7" s="154"/>
      <c r="D7" s="154"/>
      <c r="E7" s="154"/>
      <c r="F7" s="154"/>
      <c r="G7" s="154"/>
      <c r="H7" s="155"/>
      <c r="I7" s="155"/>
      <c r="J7" s="155"/>
      <c r="K7" s="155"/>
      <c r="L7" s="155"/>
      <c r="N7" s="172" t="s">
        <v>1092</v>
      </c>
      <c r="O7" s="170"/>
      <c r="P7" s="170"/>
      <c r="Q7" s="170"/>
      <c r="R7" s="170"/>
      <c r="S7" s="171"/>
      <c r="U7" s="172" t="s">
        <v>1092</v>
      </c>
      <c r="V7" s="170"/>
      <c r="W7" s="170"/>
      <c r="X7" s="170"/>
      <c r="Y7" s="170"/>
      <c r="Z7" s="171"/>
    </row>
    <row r="8" spans="1:29" ht="27" thickBot="1" x14ac:dyDescent="0.35">
      <c r="B8" s="180">
        <v>2007</v>
      </c>
      <c r="C8" s="154"/>
      <c r="D8" s="154"/>
      <c r="E8" s="154"/>
      <c r="F8" s="154"/>
      <c r="G8" s="154"/>
      <c r="H8" s="195" t="s">
        <v>2373</v>
      </c>
      <c r="I8" s="155" t="s">
        <v>855</v>
      </c>
      <c r="J8" s="155">
        <v>9.5000000000000001E-2</v>
      </c>
      <c r="K8" s="155" t="s">
        <v>855</v>
      </c>
      <c r="L8" s="155">
        <v>9.5000000000000001E-2</v>
      </c>
      <c r="N8" s="170">
        <v>2007</v>
      </c>
      <c r="O8" s="170" t="s">
        <v>2373</v>
      </c>
      <c r="P8" s="170" t="s">
        <v>855</v>
      </c>
      <c r="Q8" s="170">
        <v>9.5000000000000001E-2</v>
      </c>
      <c r="R8" s="170" t="s">
        <v>855</v>
      </c>
      <c r="S8" s="171">
        <v>9.5000000000000001E-2</v>
      </c>
      <c r="U8" s="170">
        <v>2012</v>
      </c>
      <c r="V8" s="170" t="s">
        <v>1714</v>
      </c>
      <c r="W8" s="170" t="s">
        <v>855</v>
      </c>
      <c r="X8" s="170">
        <v>0.61</v>
      </c>
      <c r="Y8" s="170" t="s">
        <v>855</v>
      </c>
      <c r="Z8" s="171">
        <v>0.61</v>
      </c>
    </row>
    <row r="9" spans="1:29" ht="27" thickBot="1" x14ac:dyDescent="0.35">
      <c r="B9" s="180">
        <v>2008</v>
      </c>
      <c r="C9" s="154"/>
      <c r="D9" s="154"/>
      <c r="E9" s="154"/>
      <c r="F9" s="154"/>
      <c r="G9" s="154"/>
      <c r="H9" s="195" t="s">
        <v>2374</v>
      </c>
      <c r="I9" s="155" t="s">
        <v>855</v>
      </c>
      <c r="J9" s="155">
        <v>0.216</v>
      </c>
      <c r="K9" s="155" t="s">
        <v>855</v>
      </c>
      <c r="L9" s="155">
        <v>0.216</v>
      </c>
      <c r="N9" s="170">
        <v>2008</v>
      </c>
      <c r="O9" s="170" t="s">
        <v>2374</v>
      </c>
      <c r="P9" s="170" t="s">
        <v>855</v>
      </c>
      <c r="Q9" s="170">
        <v>0.216</v>
      </c>
      <c r="R9" s="170" t="s">
        <v>855</v>
      </c>
      <c r="S9" s="171">
        <v>0.216</v>
      </c>
      <c r="U9" s="170">
        <v>2013</v>
      </c>
      <c r="V9" s="170" t="s">
        <v>1715</v>
      </c>
      <c r="W9" s="170" t="s">
        <v>1716</v>
      </c>
      <c r="X9" s="170">
        <v>0.48499999999999999</v>
      </c>
      <c r="Y9" s="170" t="s">
        <v>1717</v>
      </c>
      <c r="Z9" s="171">
        <v>0.05</v>
      </c>
    </row>
    <row r="10" spans="1:29" ht="27" thickBot="1" x14ac:dyDescent="0.35">
      <c r="B10" s="180">
        <v>2009</v>
      </c>
      <c r="C10" s="154"/>
      <c r="D10" s="154"/>
      <c r="E10" s="154"/>
      <c r="F10" s="154"/>
      <c r="G10" s="154"/>
      <c r="H10" s="195" t="s">
        <v>2375</v>
      </c>
      <c r="I10" s="155" t="s">
        <v>855</v>
      </c>
      <c r="J10" s="155">
        <v>0.35399999999999998</v>
      </c>
      <c r="K10" s="155" t="s">
        <v>855</v>
      </c>
      <c r="L10" s="155">
        <v>0.35399999999999998</v>
      </c>
      <c r="N10" s="170">
        <v>2009</v>
      </c>
      <c r="O10" s="170" t="s">
        <v>2375</v>
      </c>
      <c r="P10" s="170" t="s">
        <v>855</v>
      </c>
      <c r="Q10" s="170">
        <v>0.35399999999999998</v>
      </c>
      <c r="R10" s="170" t="s">
        <v>855</v>
      </c>
      <c r="S10" s="171">
        <v>0.35399999999999998</v>
      </c>
      <c r="U10" s="170">
        <v>2014</v>
      </c>
      <c r="V10" s="170" t="s">
        <v>1718</v>
      </c>
      <c r="W10" s="170" t="s">
        <v>1719</v>
      </c>
      <c r="X10" s="170">
        <v>0.26</v>
      </c>
      <c r="Y10" s="170" t="s">
        <v>1720</v>
      </c>
      <c r="Z10" s="171">
        <v>3.5000000000000003E-2</v>
      </c>
    </row>
    <row r="11" spans="1:29" ht="27" thickBot="1" x14ac:dyDescent="0.35">
      <c r="B11" s="180">
        <v>2010</v>
      </c>
      <c r="C11" s="154"/>
      <c r="D11" s="154"/>
      <c r="E11" s="154"/>
      <c r="F11" s="154"/>
      <c r="G11" s="154"/>
      <c r="H11" s="195" t="s">
        <v>2376</v>
      </c>
      <c r="I11" s="155" t="s">
        <v>855</v>
      </c>
      <c r="J11" s="155">
        <v>0.47699999999999998</v>
      </c>
      <c r="K11" s="155" t="s">
        <v>855</v>
      </c>
      <c r="L11" s="155">
        <v>0.47699999999999998</v>
      </c>
      <c r="N11" s="170">
        <v>2010</v>
      </c>
      <c r="O11" s="170" t="s">
        <v>2376</v>
      </c>
      <c r="P11" s="170" t="s">
        <v>855</v>
      </c>
      <c r="Q11" s="170">
        <v>0.47699999999999998</v>
      </c>
      <c r="R11" s="170" t="s">
        <v>855</v>
      </c>
      <c r="S11" s="171">
        <v>0.47699999999999998</v>
      </c>
      <c r="U11" s="170">
        <v>2015</v>
      </c>
      <c r="V11" s="170" t="s">
        <v>1721</v>
      </c>
      <c r="W11" s="170" t="s">
        <v>1722</v>
      </c>
      <c r="X11" s="170">
        <v>0.14000000000000001</v>
      </c>
      <c r="Y11" s="170" t="s">
        <v>1723</v>
      </c>
      <c r="Z11" s="171">
        <v>4.9000000000000002E-2</v>
      </c>
    </row>
    <row r="12" spans="1:29" ht="27" thickBot="1" x14ac:dyDescent="0.35">
      <c r="B12" s="180">
        <v>2011</v>
      </c>
      <c r="C12" s="154"/>
      <c r="D12" s="154"/>
      <c r="E12" s="154"/>
      <c r="F12" s="154"/>
      <c r="G12" s="154"/>
      <c r="H12" s="195" t="s">
        <v>2377</v>
      </c>
      <c r="I12" s="155" t="s">
        <v>855</v>
      </c>
      <c r="J12" s="155">
        <v>0.45500000000000002</v>
      </c>
      <c r="K12" s="155" t="s">
        <v>855</v>
      </c>
      <c r="L12" s="155">
        <v>0.45500000000000002</v>
      </c>
      <c r="N12" s="170">
        <v>2011</v>
      </c>
      <c r="O12" s="170" t="s">
        <v>2377</v>
      </c>
      <c r="P12" s="170" t="s">
        <v>855</v>
      </c>
      <c r="Q12" s="170">
        <v>0.45500000000000002</v>
      </c>
      <c r="R12" s="170" t="s">
        <v>855</v>
      </c>
      <c r="S12" s="171">
        <v>0.45500000000000002</v>
      </c>
      <c r="U12" s="170">
        <v>2016</v>
      </c>
      <c r="V12" s="170" t="s">
        <v>1724</v>
      </c>
      <c r="W12" s="170" t="s">
        <v>1725</v>
      </c>
      <c r="X12" s="170">
        <v>4.2999999999999997E-2</v>
      </c>
      <c r="Y12" s="170" t="s">
        <v>1726</v>
      </c>
      <c r="Z12" s="171">
        <v>8.5000000000000006E-2</v>
      </c>
    </row>
    <row r="13" spans="1:29" ht="27" thickBot="1" x14ac:dyDescent="0.35">
      <c r="B13" s="181">
        <v>2012</v>
      </c>
      <c r="C13" s="154" t="s">
        <v>1714</v>
      </c>
      <c r="D13" s="154" t="s">
        <v>855</v>
      </c>
      <c r="E13" s="154">
        <v>0.61</v>
      </c>
      <c r="F13" s="154" t="s">
        <v>855</v>
      </c>
      <c r="G13" s="154">
        <v>0.61</v>
      </c>
      <c r="H13" s="155" t="s">
        <v>2378</v>
      </c>
      <c r="I13" s="155" t="s">
        <v>855</v>
      </c>
      <c r="J13" s="155">
        <v>0.48399999999999999</v>
      </c>
      <c r="K13" s="155" t="s">
        <v>855</v>
      </c>
      <c r="L13" s="155">
        <v>0.48399999999999999</v>
      </c>
      <c r="N13" s="170">
        <v>2012</v>
      </c>
      <c r="O13" s="170" t="s">
        <v>2378</v>
      </c>
      <c r="P13" s="170" t="s">
        <v>855</v>
      </c>
      <c r="Q13" s="170">
        <v>0.48399999999999999</v>
      </c>
      <c r="R13" s="170" t="s">
        <v>855</v>
      </c>
      <c r="S13" s="171">
        <v>0.48399999999999999</v>
      </c>
      <c r="U13" s="170">
        <v>2017</v>
      </c>
      <c r="V13" s="170" t="s">
        <v>1727</v>
      </c>
      <c r="W13" s="170" t="s">
        <v>1728</v>
      </c>
      <c r="X13" s="170">
        <v>2.3E-2</v>
      </c>
      <c r="Y13" s="170" t="s">
        <v>1729</v>
      </c>
      <c r="Z13" s="171">
        <v>5.0999999999999997E-2</v>
      </c>
    </row>
    <row r="14" spans="1:29" ht="27" thickBot="1" x14ac:dyDescent="0.35">
      <c r="B14" s="181">
        <v>2013</v>
      </c>
      <c r="C14" s="154" t="s">
        <v>1715</v>
      </c>
      <c r="D14" s="154" t="s">
        <v>1716</v>
      </c>
      <c r="E14" s="154">
        <v>0.48499999999999999</v>
      </c>
      <c r="F14" s="154" t="s">
        <v>1717</v>
      </c>
      <c r="G14" s="154">
        <v>0.05</v>
      </c>
      <c r="H14" s="155" t="s">
        <v>2379</v>
      </c>
      <c r="I14" s="155" t="s">
        <v>1716</v>
      </c>
      <c r="J14" s="155">
        <v>0.35699999999999998</v>
      </c>
      <c r="K14" s="155" t="s">
        <v>2380</v>
      </c>
      <c r="L14" s="155">
        <v>0.13300000000000001</v>
      </c>
      <c r="N14" s="170">
        <v>2013</v>
      </c>
      <c r="O14" s="170" t="s">
        <v>2379</v>
      </c>
      <c r="P14" s="170" t="s">
        <v>1716</v>
      </c>
      <c r="Q14" s="170">
        <v>0.35699999999999998</v>
      </c>
      <c r="R14" s="170" t="s">
        <v>2380</v>
      </c>
      <c r="S14" s="171">
        <v>0.13300000000000001</v>
      </c>
      <c r="U14" s="170">
        <v>2018</v>
      </c>
      <c r="V14" s="170" t="s">
        <v>1730</v>
      </c>
      <c r="W14" s="170" t="s">
        <v>1731</v>
      </c>
      <c r="X14" s="170">
        <v>0.05</v>
      </c>
      <c r="Y14" s="170" t="s">
        <v>1732</v>
      </c>
      <c r="Z14" s="171">
        <v>6.5000000000000002E-2</v>
      </c>
    </row>
    <row r="15" spans="1:29" ht="27" thickBot="1" x14ac:dyDescent="0.35">
      <c r="B15" s="181">
        <v>2014</v>
      </c>
      <c r="C15" s="154" t="s">
        <v>1718</v>
      </c>
      <c r="D15" s="154" t="s">
        <v>1719</v>
      </c>
      <c r="E15" s="154">
        <v>0.26</v>
      </c>
      <c r="F15" s="154" t="s">
        <v>1720</v>
      </c>
      <c r="G15" s="154">
        <v>3.5000000000000003E-2</v>
      </c>
      <c r="H15" s="155" t="s">
        <v>2381</v>
      </c>
      <c r="I15" s="155" t="s">
        <v>1719</v>
      </c>
      <c r="J15" s="155">
        <v>0.129</v>
      </c>
      <c r="K15" s="155" t="s">
        <v>2382</v>
      </c>
      <c r="L15" s="155">
        <v>0.13700000000000001</v>
      </c>
      <c r="N15" s="170">
        <v>2014</v>
      </c>
      <c r="O15" s="170" t="s">
        <v>2381</v>
      </c>
      <c r="P15" s="170" t="s">
        <v>1719</v>
      </c>
      <c r="Q15" s="170">
        <v>0.129</v>
      </c>
      <c r="R15" s="170" t="s">
        <v>2382</v>
      </c>
      <c r="S15" s="171">
        <v>0.13700000000000001</v>
      </c>
      <c r="U15" s="170">
        <v>2019</v>
      </c>
      <c r="V15" s="170" t="s">
        <v>1733</v>
      </c>
      <c r="W15" s="170" t="s">
        <v>1734</v>
      </c>
      <c r="X15" s="170">
        <v>0.14000000000000001</v>
      </c>
      <c r="Y15" s="170" t="s">
        <v>1735</v>
      </c>
      <c r="Z15" s="171">
        <v>5.5E-2</v>
      </c>
    </row>
    <row r="16" spans="1:29" ht="27" thickBot="1" x14ac:dyDescent="0.35">
      <c r="B16" s="181">
        <v>2015</v>
      </c>
      <c r="C16" s="154" t="s">
        <v>1721</v>
      </c>
      <c r="D16" s="154" t="s">
        <v>1722</v>
      </c>
      <c r="E16" s="154">
        <v>0.14000000000000001</v>
      </c>
      <c r="F16" s="154" t="s">
        <v>1723</v>
      </c>
      <c r="G16" s="154">
        <v>4.9000000000000002E-2</v>
      </c>
      <c r="H16" s="155" t="s">
        <v>2383</v>
      </c>
      <c r="I16" s="155" t="s">
        <v>1722</v>
      </c>
      <c r="J16" s="155">
        <v>1.2999999999999999E-2</v>
      </c>
      <c r="K16" s="155" t="s">
        <v>2384</v>
      </c>
      <c r="L16" s="155">
        <v>0.153</v>
      </c>
      <c r="N16" s="170">
        <v>2015</v>
      </c>
      <c r="O16" s="170" t="s">
        <v>2383</v>
      </c>
      <c r="P16" s="170" t="s">
        <v>1722</v>
      </c>
      <c r="Q16" s="170">
        <v>1.2999999999999999E-2</v>
      </c>
      <c r="R16" s="170" t="s">
        <v>2384</v>
      </c>
      <c r="S16" s="171">
        <v>0.153</v>
      </c>
      <c r="U16" s="170">
        <v>2020</v>
      </c>
      <c r="V16" s="170" t="s">
        <v>1736</v>
      </c>
      <c r="W16" s="170" t="s">
        <v>1737</v>
      </c>
      <c r="X16" s="170">
        <v>0.189</v>
      </c>
      <c r="Y16" s="170" t="s">
        <v>1738</v>
      </c>
      <c r="Z16" s="171">
        <v>0.05</v>
      </c>
    </row>
    <row r="17" spans="2:26" ht="27" thickBot="1" x14ac:dyDescent="0.35">
      <c r="B17" s="181">
        <v>2016</v>
      </c>
      <c r="C17" s="154" t="s">
        <v>1724</v>
      </c>
      <c r="D17" s="154" t="s">
        <v>1725</v>
      </c>
      <c r="E17" s="154">
        <v>4.2999999999999997E-2</v>
      </c>
      <c r="F17" s="154" t="s">
        <v>1726</v>
      </c>
      <c r="G17" s="154">
        <v>8.5000000000000006E-2</v>
      </c>
      <c r="H17" s="155" t="s">
        <v>2385</v>
      </c>
      <c r="I17" s="155" t="s">
        <v>1725</v>
      </c>
      <c r="J17" s="155">
        <v>6.5000000000000002E-2</v>
      </c>
      <c r="K17" s="155" t="s">
        <v>2386</v>
      </c>
      <c r="L17" s="155">
        <v>0.17699999999999999</v>
      </c>
      <c r="N17" s="170">
        <v>2016</v>
      </c>
      <c r="O17" s="170" t="s">
        <v>2385</v>
      </c>
      <c r="P17" s="170" t="s">
        <v>1725</v>
      </c>
      <c r="Q17" s="170">
        <v>6.5000000000000002E-2</v>
      </c>
      <c r="R17" s="170" t="s">
        <v>2386</v>
      </c>
      <c r="S17" s="171">
        <v>0.17699999999999999</v>
      </c>
      <c r="U17" s="170">
        <v>2021</v>
      </c>
      <c r="V17" s="170" t="s">
        <v>1739</v>
      </c>
      <c r="W17" s="170" t="s">
        <v>1740</v>
      </c>
      <c r="X17" s="170">
        <v>0.42399999999999999</v>
      </c>
      <c r="Y17" s="170" t="s">
        <v>1741</v>
      </c>
      <c r="Z17" s="171">
        <v>6.8000000000000005E-2</v>
      </c>
    </row>
    <row r="18" spans="2:26" ht="27" thickBot="1" x14ac:dyDescent="0.35">
      <c r="B18" s="181">
        <v>2017</v>
      </c>
      <c r="C18" s="183" t="s">
        <v>1727</v>
      </c>
      <c r="D18" s="183" t="s">
        <v>1728</v>
      </c>
      <c r="E18" s="183">
        <v>2.3E-2</v>
      </c>
      <c r="F18" s="183" t="s">
        <v>1729</v>
      </c>
      <c r="G18" s="183">
        <v>5.0999999999999997E-2</v>
      </c>
      <c r="H18" s="184" t="s">
        <v>2387</v>
      </c>
      <c r="I18" s="184" t="s">
        <v>1728</v>
      </c>
      <c r="J18" s="184">
        <v>0.111</v>
      </c>
      <c r="K18" s="184" t="s">
        <v>2388</v>
      </c>
      <c r="L18" s="155">
        <v>0.14799999999999999</v>
      </c>
      <c r="N18" s="170">
        <v>2017</v>
      </c>
      <c r="O18" s="170" t="s">
        <v>2387</v>
      </c>
      <c r="P18" s="170" t="s">
        <v>1728</v>
      </c>
      <c r="Q18" s="170">
        <v>0.111</v>
      </c>
      <c r="R18" s="170" t="s">
        <v>2388</v>
      </c>
      <c r="S18" s="171">
        <v>0.14799999999999999</v>
      </c>
      <c r="U18" s="170">
        <v>2022</v>
      </c>
      <c r="V18" s="170" t="s">
        <v>1742</v>
      </c>
      <c r="W18" s="170" t="s">
        <v>1743</v>
      </c>
      <c r="X18" s="170">
        <v>0.58199999999999996</v>
      </c>
      <c r="Y18" s="170" t="s">
        <v>1744</v>
      </c>
      <c r="Z18" s="171">
        <v>5.1999999999999998E-2</v>
      </c>
    </row>
    <row r="19" spans="2:26" ht="40.200000000000003" thickBot="1" x14ac:dyDescent="0.35">
      <c r="B19" s="181">
        <v>2018</v>
      </c>
      <c r="C19" s="154" t="s">
        <v>1730</v>
      </c>
      <c r="D19" s="154" t="s">
        <v>1731</v>
      </c>
      <c r="E19" s="154">
        <v>0.05</v>
      </c>
      <c r="F19" s="154" t="s">
        <v>1732</v>
      </c>
      <c r="G19" s="154">
        <v>6.5000000000000002E-2</v>
      </c>
      <c r="H19" s="155" t="s">
        <v>2389</v>
      </c>
      <c r="I19" s="155" t="s">
        <v>1731</v>
      </c>
      <c r="J19" s="155">
        <v>0.128</v>
      </c>
      <c r="K19" s="155" t="s">
        <v>2390</v>
      </c>
      <c r="L19" s="155">
        <v>0.159</v>
      </c>
      <c r="N19" s="170">
        <v>2018</v>
      </c>
      <c r="O19" s="170" t="s">
        <v>2389</v>
      </c>
      <c r="P19" s="170" t="s">
        <v>1731</v>
      </c>
      <c r="Q19" s="170">
        <v>0.128</v>
      </c>
      <c r="R19" s="170" t="s">
        <v>2390</v>
      </c>
      <c r="S19" s="171">
        <v>0.159</v>
      </c>
      <c r="U19" s="170" t="s">
        <v>1141</v>
      </c>
      <c r="V19" s="170" t="s">
        <v>1745</v>
      </c>
      <c r="W19" s="170" t="s">
        <v>1746</v>
      </c>
      <c r="X19" s="170">
        <v>4.3999999999999997E-2</v>
      </c>
      <c r="Y19" s="170" t="s">
        <v>1747</v>
      </c>
      <c r="Z19" s="171">
        <v>7.0000000000000001E-3</v>
      </c>
    </row>
    <row r="20" spans="2:26" ht="27" thickBot="1" x14ac:dyDescent="0.35">
      <c r="B20" s="181">
        <v>2019</v>
      </c>
      <c r="C20" s="154" t="s">
        <v>1733</v>
      </c>
      <c r="D20" s="154" t="s">
        <v>1734</v>
      </c>
      <c r="E20" s="154">
        <v>0.14000000000000001</v>
      </c>
      <c r="F20" s="154" t="s">
        <v>1735</v>
      </c>
      <c r="G20" s="154">
        <v>5.5E-2</v>
      </c>
      <c r="H20" s="155" t="s">
        <v>2391</v>
      </c>
      <c r="I20" s="155" t="s">
        <v>1734</v>
      </c>
      <c r="J20" s="155">
        <v>0.20200000000000001</v>
      </c>
      <c r="K20" s="155" t="s">
        <v>2392</v>
      </c>
      <c r="L20" s="155">
        <v>0.14899999999999999</v>
      </c>
      <c r="N20" s="170">
        <v>2019</v>
      </c>
      <c r="O20" s="170" t="s">
        <v>2391</v>
      </c>
      <c r="P20" s="170" t="s">
        <v>1734</v>
      </c>
      <c r="Q20" s="170">
        <v>0.20200000000000001</v>
      </c>
      <c r="R20" s="170" t="s">
        <v>2392</v>
      </c>
      <c r="S20" s="171">
        <v>0.14899999999999999</v>
      </c>
      <c r="U20" s="172" t="s">
        <v>1145</v>
      </c>
      <c r="V20" s="170"/>
      <c r="W20" s="170"/>
      <c r="X20" s="170"/>
      <c r="Y20" s="170"/>
      <c r="Z20" s="171"/>
    </row>
    <row r="21" spans="2:26" ht="27" thickBot="1" x14ac:dyDescent="0.35">
      <c r="B21" s="181">
        <v>2020</v>
      </c>
      <c r="C21" s="154" t="s">
        <v>1736</v>
      </c>
      <c r="D21" s="154" t="s">
        <v>1737</v>
      </c>
      <c r="E21" s="154">
        <v>0.189</v>
      </c>
      <c r="F21" s="154" t="s">
        <v>1738</v>
      </c>
      <c r="G21" s="154">
        <v>0.05</v>
      </c>
      <c r="H21" s="155" t="s">
        <v>2393</v>
      </c>
      <c r="I21" s="155" t="s">
        <v>1737</v>
      </c>
      <c r="J21" s="155">
        <v>0.22700000000000001</v>
      </c>
      <c r="K21" s="155" t="s">
        <v>2394</v>
      </c>
      <c r="L21" s="155">
        <v>0.127</v>
      </c>
      <c r="N21" s="170">
        <v>2020</v>
      </c>
      <c r="O21" s="170" t="s">
        <v>2393</v>
      </c>
      <c r="P21" s="170" t="s">
        <v>1737</v>
      </c>
      <c r="Q21" s="170">
        <v>0.22700000000000001</v>
      </c>
      <c r="R21" s="170" t="s">
        <v>2394</v>
      </c>
      <c r="S21" s="171">
        <v>0.127</v>
      </c>
      <c r="U21" s="170" t="s">
        <v>334</v>
      </c>
      <c r="V21" s="170" t="s">
        <v>1748</v>
      </c>
      <c r="W21" s="170" t="s">
        <v>1749</v>
      </c>
      <c r="X21" s="170">
        <v>0.13500000000000001</v>
      </c>
      <c r="Y21" s="170" t="s">
        <v>1750</v>
      </c>
      <c r="Z21" s="171">
        <v>1.2999999999999999E-2</v>
      </c>
    </row>
    <row r="22" spans="2:26" ht="27" thickBot="1" x14ac:dyDescent="0.35">
      <c r="B22" s="181">
        <v>2021</v>
      </c>
      <c r="C22" s="154" t="s">
        <v>1739</v>
      </c>
      <c r="D22" s="154" t="s">
        <v>1740</v>
      </c>
      <c r="E22" s="154">
        <v>0.42399999999999999</v>
      </c>
      <c r="F22" s="154" t="s">
        <v>1741</v>
      </c>
      <c r="G22" s="154">
        <v>6.8000000000000005E-2</v>
      </c>
      <c r="H22" s="155" t="s">
        <v>2395</v>
      </c>
      <c r="I22" s="155" t="s">
        <v>1740</v>
      </c>
      <c r="J22" s="155">
        <v>0.44900000000000001</v>
      </c>
      <c r="K22" s="155" t="s">
        <v>2396</v>
      </c>
      <c r="L22" s="155">
        <v>0.13700000000000001</v>
      </c>
      <c r="N22" s="170">
        <v>2021</v>
      </c>
      <c r="O22" s="170" t="s">
        <v>2395</v>
      </c>
      <c r="P22" s="170" t="s">
        <v>1740</v>
      </c>
      <c r="Q22" s="170">
        <v>0.44900000000000001</v>
      </c>
      <c r="R22" s="170" t="s">
        <v>2396</v>
      </c>
      <c r="S22" s="171">
        <v>0.13700000000000001</v>
      </c>
      <c r="U22" s="170" t="s">
        <v>335</v>
      </c>
      <c r="V22" s="170" t="s">
        <v>1751</v>
      </c>
      <c r="W22" s="170" t="s">
        <v>1752</v>
      </c>
      <c r="X22" s="170">
        <v>0.216</v>
      </c>
      <c r="Y22" s="170" t="s">
        <v>1753</v>
      </c>
      <c r="Z22" s="171">
        <v>3.0000000000000001E-3</v>
      </c>
    </row>
    <row r="23" spans="2:26" ht="27" thickBot="1" x14ac:dyDescent="0.35">
      <c r="B23" s="181">
        <v>2022</v>
      </c>
      <c r="C23" s="154" t="s">
        <v>1742</v>
      </c>
      <c r="D23" s="154" t="s">
        <v>1743</v>
      </c>
      <c r="E23" s="154">
        <v>0.58199999999999996</v>
      </c>
      <c r="F23" s="154" t="s">
        <v>1744</v>
      </c>
      <c r="G23" s="154">
        <v>5.1999999999999998E-2</v>
      </c>
      <c r="H23" s="155" t="s">
        <v>2397</v>
      </c>
      <c r="I23" s="155" t="s">
        <v>1743</v>
      </c>
      <c r="J23" s="155">
        <v>0.58599999999999997</v>
      </c>
      <c r="K23" s="155" t="s">
        <v>2398</v>
      </c>
      <c r="L23" s="155">
        <v>0.115</v>
      </c>
      <c r="N23" s="170">
        <v>2022</v>
      </c>
      <c r="O23" s="170" t="s">
        <v>2397</v>
      </c>
      <c r="P23" s="170" t="s">
        <v>1743</v>
      </c>
      <c r="Q23" s="170">
        <v>0.58599999999999997</v>
      </c>
      <c r="R23" s="170" t="s">
        <v>2398</v>
      </c>
      <c r="S23" s="171">
        <v>0.115</v>
      </c>
      <c r="U23" s="170" t="s">
        <v>336</v>
      </c>
      <c r="V23" s="170" t="s">
        <v>1754</v>
      </c>
      <c r="W23" s="170" t="s">
        <v>1755</v>
      </c>
      <c r="X23" s="170">
        <v>0.16200000000000001</v>
      </c>
      <c r="Y23" s="170" t="s">
        <v>1756</v>
      </c>
      <c r="Z23" s="171">
        <v>5.0000000000000001E-3</v>
      </c>
    </row>
    <row r="24" spans="2:26" ht="46.2" thickBot="1" x14ac:dyDescent="0.35">
      <c r="B24" s="153" t="s">
        <v>1491</v>
      </c>
      <c r="C24" s="154" t="s">
        <v>1745</v>
      </c>
      <c r="D24" s="154" t="s">
        <v>1746</v>
      </c>
      <c r="E24" s="154">
        <v>4.3999999999999997E-2</v>
      </c>
      <c r="F24" s="154" t="s">
        <v>1747</v>
      </c>
      <c r="G24" s="154">
        <v>7.0000000000000001E-3</v>
      </c>
      <c r="H24" s="155" t="s">
        <v>2399</v>
      </c>
      <c r="I24" s="155" t="s">
        <v>1746</v>
      </c>
      <c r="J24" s="155">
        <v>4.2000000000000003E-2</v>
      </c>
      <c r="K24" s="155" t="s">
        <v>2400</v>
      </c>
      <c r="L24" s="155">
        <v>2E-3</v>
      </c>
      <c r="N24" s="170" t="s">
        <v>1141</v>
      </c>
      <c r="O24" s="170" t="s">
        <v>2399</v>
      </c>
      <c r="P24" s="170" t="s">
        <v>1746</v>
      </c>
      <c r="Q24" s="170">
        <v>4.2000000000000003E-2</v>
      </c>
      <c r="R24" s="170" t="s">
        <v>2400</v>
      </c>
      <c r="S24" s="171">
        <v>2E-3</v>
      </c>
      <c r="U24" s="170" t="s">
        <v>1155</v>
      </c>
      <c r="V24" s="170" t="s">
        <v>1757</v>
      </c>
      <c r="W24" s="170" t="s">
        <v>1758</v>
      </c>
      <c r="X24" s="170">
        <v>0.13200000000000001</v>
      </c>
      <c r="Y24" s="170" t="s">
        <v>1759</v>
      </c>
      <c r="Z24" s="171">
        <v>1.4999999999999999E-2</v>
      </c>
    </row>
    <row r="25" spans="2:26" ht="27" thickBot="1" x14ac:dyDescent="0.35">
      <c r="B25" s="180" t="s">
        <v>333</v>
      </c>
      <c r="C25" s="154"/>
      <c r="D25" s="154"/>
      <c r="E25" s="154"/>
      <c r="F25" s="154"/>
      <c r="G25" s="154"/>
      <c r="H25" s="155"/>
      <c r="I25" s="155"/>
      <c r="J25" s="155"/>
      <c r="K25" s="155"/>
      <c r="L25" s="155"/>
      <c r="N25" s="172" t="s">
        <v>1145</v>
      </c>
      <c r="O25" s="170"/>
      <c r="P25" s="170"/>
      <c r="Q25" s="170"/>
      <c r="R25" s="170"/>
      <c r="S25" s="171"/>
      <c r="U25" s="172" t="s">
        <v>1159</v>
      </c>
      <c r="V25" s="170"/>
      <c r="W25" s="170"/>
      <c r="X25" s="170"/>
      <c r="Y25" s="170"/>
      <c r="Z25" s="171"/>
    </row>
    <row r="26" spans="2:26" ht="27" thickBot="1" x14ac:dyDescent="0.35">
      <c r="B26" s="181" t="s">
        <v>1494</v>
      </c>
      <c r="C26" s="154" t="s">
        <v>1748</v>
      </c>
      <c r="D26" s="154" t="s">
        <v>1749</v>
      </c>
      <c r="E26" s="154">
        <v>0.13500000000000001</v>
      </c>
      <c r="F26" s="154" t="s">
        <v>1750</v>
      </c>
      <c r="G26" s="154">
        <v>1.2999999999999999E-2</v>
      </c>
      <c r="H26" s="155" t="s">
        <v>2401</v>
      </c>
      <c r="I26" s="155" t="s">
        <v>1749</v>
      </c>
      <c r="J26" s="155">
        <v>0.105</v>
      </c>
      <c r="K26" s="155" t="s">
        <v>2402</v>
      </c>
      <c r="L26" s="155">
        <v>8.9999999999999993E-3</v>
      </c>
      <c r="N26" s="170" t="s">
        <v>334</v>
      </c>
      <c r="O26" s="170" t="s">
        <v>2401</v>
      </c>
      <c r="P26" s="170" t="s">
        <v>1749</v>
      </c>
      <c r="Q26" s="170">
        <v>0.105</v>
      </c>
      <c r="R26" s="170" t="s">
        <v>2402</v>
      </c>
      <c r="S26" s="171">
        <v>8.9999999999999993E-3</v>
      </c>
      <c r="U26" s="170" t="s">
        <v>339</v>
      </c>
      <c r="V26" s="170" t="s">
        <v>1760</v>
      </c>
      <c r="W26" s="170" t="s">
        <v>1761</v>
      </c>
      <c r="X26" s="170">
        <v>1.4E-2</v>
      </c>
      <c r="Y26" s="170" t="s">
        <v>1762</v>
      </c>
      <c r="Z26" s="171">
        <v>2.5999999999999999E-2</v>
      </c>
    </row>
    <row r="27" spans="2:26" ht="27" thickBot="1" x14ac:dyDescent="0.35">
      <c r="B27" s="181" t="s">
        <v>1495</v>
      </c>
      <c r="C27" s="154" t="s">
        <v>1751</v>
      </c>
      <c r="D27" s="154" t="s">
        <v>1752</v>
      </c>
      <c r="E27" s="154">
        <v>0.216</v>
      </c>
      <c r="F27" s="154" t="s">
        <v>1753</v>
      </c>
      <c r="G27" s="154">
        <v>3.0000000000000001E-3</v>
      </c>
      <c r="H27" s="155" t="s">
        <v>2403</v>
      </c>
      <c r="I27" s="155" t="s">
        <v>1752</v>
      </c>
      <c r="J27" s="155">
        <v>0.19700000000000001</v>
      </c>
      <c r="K27" s="155" t="s">
        <v>2404</v>
      </c>
      <c r="L27" s="155">
        <v>1E-3</v>
      </c>
      <c r="N27" s="170" t="s">
        <v>335</v>
      </c>
      <c r="O27" s="170" t="s">
        <v>2403</v>
      </c>
      <c r="P27" s="170" t="s">
        <v>1752</v>
      </c>
      <c r="Q27" s="170">
        <v>0.19700000000000001</v>
      </c>
      <c r="R27" s="170" t="s">
        <v>2404</v>
      </c>
      <c r="S27" s="171">
        <v>1E-3</v>
      </c>
      <c r="U27" s="170" t="s">
        <v>340</v>
      </c>
      <c r="V27" s="170" t="s">
        <v>1763</v>
      </c>
      <c r="W27" s="170" t="s">
        <v>1764</v>
      </c>
      <c r="X27" s="170">
        <v>7.9000000000000001E-2</v>
      </c>
      <c r="Y27" s="170" t="s">
        <v>1765</v>
      </c>
      <c r="Z27" s="171">
        <v>5.0000000000000001E-3</v>
      </c>
    </row>
    <row r="28" spans="2:26" ht="27" thickBot="1" x14ac:dyDescent="0.35">
      <c r="B28" s="181" t="s">
        <v>1496</v>
      </c>
      <c r="C28" s="154" t="s">
        <v>1754</v>
      </c>
      <c r="D28" s="154" t="s">
        <v>1755</v>
      </c>
      <c r="E28" s="154">
        <v>0.16200000000000001</v>
      </c>
      <c r="F28" s="154" t="s">
        <v>1756</v>
      </c>
      <c r="G28" s="154">
        <v>5.0000000000000001E-3</v>
      </c>
      <c r="H28" s="155" t="s">
        <v>2405</v>
      </c>
      <c r="I28" s="155" t="s">
        <v>1755</v>
      </c>
      <c r="J28" s="155">
        <v>0.09</v>
      </c>
      <c r="K28" s="155" t="s">
        <v>2406</v>
      </c>
      <c r="L28" s="155">
        <v>3.5999999999999997E-2</v>
      </c>
      <c r="N28" s="170" t="s">
        <v>336</v>
      </c>
      <c r="O28" s="170" t="s">
        <v>2405</v>
      </c>
      <c r="P28" s="170" t="s">
        <v>1755</v>
      </c>
      <c r="Q28" s="170">
        <v>0.09</v>
      </c>
      <c r="R28" s="170" t="s">
        <v>2406</v>
      </c>
      <c r="S28" s="171">
        <v>3.5999999999999997E-2</v>
      </c>
      <c r="U28" s="170" t="s">
        <v>337</v>
      </c>
      <c r="V28" s="170" t="s">
        <v>1766</v>
      </c>
      <c r="W28" s="170" t="s">
        <v>1767</v>
      </c>
      <c r="X28" s="170">
        <v>7.3999999999999996E-2</v>
      </c>
      <c r="Y28" s="170" t="s">
        <v>1768</v>
      </c>
      <c r="Z28" s="171">
        <v>0.03</v>
      </c>
    </row>
    <row r="29" spans="2:26" ht="27" thickBot="1" x14ac:dyDescent="0.35">
      <c r="B29" s="181" t="s">
        <v>337</v>
      </c>
      <c r="C29" s="154" t="s">
        <v>1757</v>
      </c>
      <c r="D29" s="154" t="s">
        <v>1758</v>
      </c>
      <c r="E29" s="154">
        <v>0.13200000000000001</v>
      </c>
      <c r="F29" s="154" t="s">
        <v>1759</v>
      </c>
      <c r="G29" s="154">
        <v>1.4999999999999999E-2</v>
      </c>
      <c r="H29" s="155" t="s">
        <v>2407</v>
      </c>
      <c r="I29" s="155" t="s">
        <v>1758</v>
      </c>
      <c r="J29" s="155">
        <v>0.191</v>
      </c>
      <c r="K29" s="155" t="s">
        <v>2408</v>
      </c>
      <c r="L29" s="155">
        <v>6.7000000000000004E-2</v>
      </c>
      <c r="N29" s="170" t="s">
        <v>1155</v>
      </c>
      <c r="O29" s="170" t="s">
        <v>2407</v>
      </c>
      <c r="P29" s="170" t="s">
        <v>1758</v>
      </c>
      <c r="Q29" s="170">
        <v>0.191</v>
      </c>
      <c r="R29" s="170" t="s">
        <v>2408</v>
      </c>
      <c r="S29" s="171">
        <v>6.7000000000000004E-2</v>
      </c>
      <c r="U29" s="170" t="s">
        <v>341</v>
      </c>
      <c r="V29" s="170" t="s">
        <v>1769</v>
      </c>
      <c r="W29" s="170" t="s">
        <v>1770</v>
      </c>
      <c r="X29" s="170">
        <v>1.0999999999999999E-2</v>
      </c>
      <c r="Y29" s="170" t="s">
        <v>1771</v>
      </c>
      <c r="Z29" s="171">
        <v>1E-3</v>
      </c>
    </row>
    <row r="30" spans="2:26" ht="27" thickBot="1" x14ac:dyDescent="0.35">
      <c r="B30" s="180" t="s">
        <v>338</v>
      </c>
      <c r="C30" s="154"/>
      <c r="D30" s="154"/>
      <c r="E30" s="154"/>
      <c r="F30" s="154"/>
      <c r="G30" s="154"/>
      <c r="H30" s="155"/>
      <c r="I30" s="155"/>
      <c r="J30" s="155"/>
      <c r="K30" s="155"/>
      <c r="L30" s="155"/>
      <c r="N30" s="172" t="s">
        <v>1159</v>
      </c>
      <c r="O30" s="170"/>
      <c r="P30" s="170"/>
      <c r="Q30" s="170"/>
      <c r="R30" s="170"/>
      <c r="S30" s="171"/>
      <c r="U30" s="172" t="s">
        <v>1172</v>
      </c>
      <c r="V30" s="170"/>
      <c r="W30" s="170"/>
      <c r="X30" s="170"/>
      <c r="Y30" s="170"/>
      <c r="Z30" s="171"/>
    </row>
    <row r="31" spans="2:26" ht="27" thickBot="1" x14ac:dyDescent="0.35">
      <c r="B31" s="181" t="s">
        <v>1497</v>
      </c>
      <c r="C31" s="154" t="s">
        <v>1760</v>
      </c>
      <c r="D31" s="154" t="s">
        <v>1761</v>
      </c>
      <c r="E31" s="154">
        <v>1.4E-2</v>
      </c>
      <c r="F31" s="154" t="s">
        <v>1762</v>
      </c>
      <c r="G31" s="154">
        <v>2.5999999999999999E-2</v>
      </c>
      <c r="H31" s="155" t="s">
        <v>2409</v>
      </c>
      <c r="I31" s="155" t="s">
        <v>1761</v>
      </c>
      <c r="J31" s="155">
        <v>7.0000000000000001E-3</v>
      </c>
      <c r="K31" s="155" t="s">
        <v>2410</v>
      </c>
      <c r="L31" s="155">
        <v>3.9E-2</v>
      </c>
      <c r="N31" s="170" t="s">
        <v>339</v>
      </c>
      <c r="O31" s="170" t="s">
        <v>2409</v>
      </c>
      <c r="P31" s="170" t="s">
        <v>1761</v>
      </c>
      <c r="Q31" s="170">
        <v>7.0000000000000001E-3</v>
      </c>
      <c r="R31" s="170" t="s">
        <v>2410</v>
      </c>
      <c r="S31" s="171">
        <v>3.9E-2</v>
      </c>
      <c r="U31" s="170" t="s">
        <v>340</v>
      </c>
      <c r="V31" s="170" t="s">
        <v>1772</v>
      </c>
      <c r="W31" s="170" t="s">
        <v>1773</v>
      </c>
      <c r="X31" s="170">
        <v>5.1999999999999998E-2</v>
      </c>
      <c r="Y31" s="170" t="s">
        <v>1774</v>
      </c>
      <c r="Z31" s="171">
        <v>2E-3</v>
      </c>
    </row>
    <row r="32" spans="2:26" ht="27" thickBot="1" x14ac:dyDescent="0.35">
      <c r="B32" s="181" t="s">
        <v>1498</v>
      </c>
      <c r="C32" s="154" t="s">
        <v>1763</v>
      </c>
      <c r="D32" s="154" t="s">
        <v>1764</v>
      </c>
      <c r="E32" s="154">
        <v>7.9000000000000001E-2</v>
      </c>
      <c r="F32" s="154" t="s">
        <v>1765</v>
      </c>
      <c r="G32" s="154">
        <v>5.0000000000000001E-3</v>
      </c>
      <c r="H32" s="155" t="s">
        <v>2411</v>
      </c>
      <c r="I32" s="155" t="s">
        <v>1764</v>
      </c>
      <c r="J32" s="155">
        <v>0.06</v>
      </c>
      <c r="K32" s="155" t="s">
        <v>2412</v>
      </c>
      <c r="L32" s="155">
        <v>1.0999999999999999E-2</v>
      </c>
      <c r="N32" s="170" t="s">
        <v>340</v>
      </c>
      <c r="O32" s="170" t="s">
        <v>2411</v>
      </c>
      <c r="P32" s="170" t="s">
        <v>1764</v>
      </c>
      <c r="Q32" s="170">
        <v>0.06</v>
      </c>
      <c r="R32" s="170" t="s">
        <v>2412</v>
      </c>
      <c r="S32" s="171">
        <v>1.0999999999999999E-2</v>
      </c>
      <c r="U32" s="170" t="s">
        <v>339</v>
      </c>
      <c r="V32" s="170" t="s">
        <v>1775</v>
      </c>
      <c r="W32" s="170" t="s">
        <v>1776</v>
      </c>
      <c r="X32" s="170">
        <v>1.4E-2</v>
      </c>
      <c r="Y32" s="170" t="s">
        <v>1777</v>
      </c>
      <c r="Z32" s="171">
        <v>1.2E-2</v>
      </c>
    </row>
    <row r="33" spans="2:26" ht="27" thickBot="1" x14ac:dyDescent="0.35">
      <c r="B33" s="181" t="s">
        <v>1499</v>
      </c>
      <c r="C33" s="154" t="s">
        <v>1766</v>
      </c>
      <c r="D33" s="154" t="s">
        <v>1767</v>
      </c>
      <c r="E33" s="154">
        <v>7.3999999999999996E-2</v>
      </c>
      <c r="F33" s="154" t="s">
        <v>1768</v>
      </c>
      <c r="G33" s="154">
        <v>0.03</v>
      </c>
      <c r="H33" s="155" t="s">
        <v>2413</v>
      </c>
      <c r="I33" s="155" t="s">
        <v>1767</v>
      </c>
      <c r="J33" s="155">
        <v>4.8000000000000001E-2</v>
      </c>
      <c r="K33" s="155" t="s">
        <v>2414</v>
      </c>
      <c r="L33" s="155">
        <v>5.5E-2</v>
      </c>
      <c r="N33" s="170" t="s">
        <v>337</v>
      </c>
      <c r="O33" s="170" t="s">
        <v>2413</v>
      </c>
      <c r="P33" s="170" t="s">
        <v>1767</v>
      </c>
      <c r="Q33" s="170">
        <v>4.8000000000000001E-2</v>
      </c>
      <c r="R33" s="170" t="s">
        <v>2414</v>
      </c>
      <c r="S33" s="171">
        <v>5.5E-2</v>
      </c>
      <c r="U33" s="170" t="s">
        <v>337</v>
      </c>
      <c r="V33" s="170" t="s">
        <v>1778</v>
      </c>
      <c r="W33" s="170" t="s">
        <v>1779</v>
      </c>
      <c r="X33" s="170">
        <v>0.189</v>
      </c>
      <c r="Y33" s="170" t="s">
        <v>1780</v>
      </c>
      <c r="Z33" s="171">
        <v>2E-3</v>
      </c>
    </row>
    <row r="34" spans="2:26" ht="27" thickBot="1" x14ac:dyDescent="0.35">
      <c r="B34" s="181" t="s">
        <v>1500</v>
      </c>
      <c r="C34" s="154" t="s">
        <v>1769</v>
      </c>
      <c r="D34" s="154" t="s">
        <v>1770</v>
      </c>
      <c r="E34" s="154">
        <v>1.0999999999999999E-2</v>
      </c>
      <c r="F34" s="154" t="s">
        <v>1771</v>
      </c>
      <c r="G34" s="154">
        <v>1E-3</v>
      </c>
      <c r="H34" s="155" t="s">
        <v>2415</v>
      </c>
      <c r="I34" s="155" t="s">
        <v>1770</v>
      </c>
      <c r="J34" s="155">
        <v>3.0000000000000001E-3</v>
      </c>
      <c r="K34" s="155" t="s">
        <v>2416</v>
      </c>
      <c r="L34" s="155">
        <v>0.02</v>
      </c>
      <c r="N34" s="170" t="s">
        <v>341</v>
      </c>
      <c r="O34" s="170" t="s">
        <v>2415</v>
      </c>
      <c r="P34" s="170" t="s">
        <v>1770</v>
      </c>
      <c r="Q34" s="170">
        <v>3.0000000000000001E-3</v>
      </c>
      <c r="R34" s="170" t="s">
        <v>2416</v>
      </c>
      <c r="S34" s="171">
        <v>0.02</v>
      </c>
      <c r="U34" s="170" t="s">
        <v>341</v>
      </c>
      <c r="V34" s="170" t="s">
        <v>1781</v>
      </c>
      <c r="W34" s="170" t="s">
        <v>1782</v>
      </c>
      <c r="X34" s="170">
        <v>0.12</v>
      </c>
      <c r="Y34" s="170" t="s">
        <v>1783</v>
      </c>
      <c r="Z34" s="171">
        <v>1.2E-2</v>
      </c>
    </row>
    <row r="35" spans="2:26" ht="27" thickBot="1" x14ac:dyDescent="0.35">
      <c r="B35" s="180" t="s">
        <v>342</v>
      </c>
      <c r="C35" s="154"/>
      <c r="D35" s="154"/>
      <c r="E35" s="154"/>
      <c r="F35" s="154"/>
      <c r="G35" s="154"/>
      <c r="H35" s="155"/>
      <c r="I35" s="155"/>
      <c r="J35" s="155"/>
      <c r="K35" s="155"/>
      <c r="L35" s="155"/>
      <c r="N35" s="172" t="s">
        <v>1172</v>
      </c>
      <c r="O35" s="170"/>
      <c r="P35" s="170"/>
      <c r="Q35" s="170"/>
      <c r="R35" s="170"/>
      <c r="S35" s="171"/>
      <c r="U35" s="172" t="s">
        <v>1185</v>
      </c>
      <c r="V35" s="170"/>
      <c r="W35" s="170"/>
      <c r="X35" s="170"/>
      <c r="Y35" s="170"/>
      <c r="Z35" s="171"/>
    </row>
    <row r="36" spans="2:26" ht="40.200000000000003" thickBot="1" x14ac:dyDescent="0.35">
      <c r="B36" s="181" t="s">
        <v>1498</v>
      </c>
      <c r="C36" s="154" t="s">
        <v>1772</v>
      </c>
      <c r="D36" s="154" t="s">
        <v>1773</v>
      </c>
      <c r="E36" s="154">
        <v>5.1999999999999998E-2</v>
      </c>
      <c r="F36" s="154" t="s">
        <v>1774</v>
      </c>
      <c r="G36" s="154">
        <v>2E-3</v>
      </c>
      <c r="H36" s="155" t="s">
        <v>2417</v>
      </c>
      <c r="I36" s="155" t="s">
        <v>1773</v>
      </c>
      <c r="J36" s="155">
        <v>6.7000000000000004E-2</v>
      </c>
      <c r="K36" s="155" t="s">
        <v>2418</v>
      </c>
      <c r="L36" s="155">
        <v>8.9999999999999993E-3</v>
      </c>
      <c r="N36" s="170" t="s">
        <v>340</v>
      </c>
      <c r="O36" s="170" t="s">
        <v>2417</v>
      </c>
      <c r="P36" s="170" t="s">
        <v>1773</v>
      </c>
      <c r="Q36" s="170">
        <v>6.7000000000000004E-2</v>
      </c>
      <c r="R36" s="170" t="s">
        <v>2418</v>
      </c>
      <c r="S36" s="171">
        <v>8.9999999999999993E-3</v>
      </c>
      <c r="U36" s="170" t="s">
        <v>1186</v>
      </c>
      <c r="V36" s="170" t="s">
        <v>1784</v>
      </c>
      <c r="W36" s="170" t="s">
        <v>1785</v>
      </c>
      <c r="X36" s="170">
        <v>0.188</v>
      </c>
      <c r="Y36" s="170" t="s">
        <v>1786</v>
      </c>
      <c r="Z36" s="171">
        <v>7.1999999999999995E-2</v>
      </c>
    </row>
    <row r="37" spans="2:26" ht="40.200000000000003" thickBot="1" x14ac:dyDescent="0.35">
      <c r="B37" s="181" t="s">
        <v>1497</v>
      </c>
      <c r="C37" s="154" t="s">
        <v>1775</v>
      </c>
      <c r="D37" s="154" t="s">
        <v>1776</v>
      </c>
      <c r="E37" s="154">
        <v>1.4E-2</v>
      </c>
      <c r="F37" s="154" t="s">
        <v>1777</v>
      </c>
      <c r="G37" s="154">
        <v>1.2E-2</v>
      </c>
      <c r="H37" s="155" t="s">
        <v>2419</v>
      </c>
      <c r="I37" s="155" t="s">
        <v>1776</v>
      </c>
      <c r="J37" s="155">
        <v>3.1E-2</v>
      </c>
      <c r="K37" s="155" t="s">
        <v>2420</v>
      </c>
      <c r="L37" s="155">
        <v>1E-3</v>
      </c>
      <c r="N37" s="170" t="s">
        <v>339</v>
      </c>
      <c r="O37" s="170" t="s">
        <v>2419</v>
      </c>
      <c r="P37" s="170" t="s">
        <v>1776</v>
      </c>
      <c r="Q37" s="170">
        <v>3.1E-2</v>
      </c>
      <c r="R37" s="170" t="s">
        <v>2420</v>
      </c>
      <c r="S37" s="171">
        <v>1E-3</v>
      </c>
      <c r="U37" s="170" t="s">
        <v>1190</v>
      </c>
      <c r="V37" s="170" t="s">
        <v>1787</v>
      </c>
      <c r="W37" s="170" t="s">
        <v>1788</v>
      </c>
      <c r="X37" s="170">
        <v>0.19800000000000001</v>
      </c>
      <c r="Y37" s="170" t="s">
        <v>1789</v>
      </c>
      <c r="Z37" s="171">
        <v>8.0000000000000002E-3</v>
      </c>
    </row>
    <row r="38" spans="2:26" ht="40.200000000000003" thickBot="1" x14ac:dyDescent="0.35">
      <c r="B38" s="181" t="s">
        <v>1499</v>
      </c>
      <c r="C38" s="154" t="s">
        <v>1778</v>
      </c>
      <c r="D38" s="154" t="s">
        <v>1779</v>
      </c>
      <c r="E38" s="154">
        <v>0.189</v>
      </c>
      <c r="F38" s="154" t="s">
        <v>1780</v>
      </c>
      <c r="G38" s="154">
        <v>2E-3</v>
      </c>
      <c r="H38" s="155" t="s">
        <v>2421</v>
      </c>
      <c r="I38" s="155" t="s">
        <v>1779</v>
      </c>
      <c r="J38" s="155">
        <v>0.23200000000000001</v>
      </c>
      <c r="K38" s="155" t="s">
        <v>2422</v>
      </c>
      <c r="L38" s="155">
        <v>4.7E-2</v>
      </c>
      <c r="N38" s="170" t="s">
        <v>337</v>
      </c>
      <c r="O38" s="170" t="s">
        <v>2421</v>
      </c>
      <c r="P38" s="170" t="s">
        <v>1779</v>
      </c>
      <c r="Q38" s="170">
        <v>0.23200000000000001</v>
      </c>
      <c r="R38" s="170" t="s">
        <v>2422</v>
      </c>
      <c r="S38" s="171">
        <v>4.7E-2</v>
      </c>
      <c r="U38" s="170" t="s">
        <v>1194</v>
      </c>
      <c r="V38" s="170" t="s">
        <v>1790</v>
      </c>
      <c r="W38" s="170" t="s">
        <v>1791</v>
      </c>
      <c r="X38" s="170">
        <v>2.5000000000000001E-2</v>
      </c>
      <c r="Y38" s="170" t="s">
        <v>1792</v>
      </c>
      <c r="Z38" s="171">
        <v>5.1999999999999998E-2</v>
      </c>
    </row>
    <row r="39" spans="2:26" ht="27" thickBot="1" x14ac:dyDescent="0.35">
      <c r="B39" s="181" t="s">
        <v>1500</v>
      </c>
      <c r="C39" s="154" t="s">
        <v>1781</v>
      </c>
      <c r="D39" s="154" t="s">
        <v>1782</v>
      </c>
      <c r="E39" s="154">
        <v>0.12</v>
      </c>
      <c r="F39" s="154" t="s">
        <v>1783</v>
      </c>
      <c r="G39" s="154">
        <v>1.2E-2</v>
      </c>
      <c r="H39" s="155" t="s">
        <v>2423</v>
      </c>
      <c r="I39" s="155" t="s">
        <v>1782</v>
      </c>
      <c r="J39" s="155">
        <v>0.13100000000000001</v>
      </c>
      <c r="K39" s="155" t="s">
        <v>2424</v>
      </c>
      <c r="L39" s="155">
        <v>3.1E-2</v>
      </c>
      <c r="N39" s="170" t="s">
        <v>341</v>
      </c>
      <c r="O39" s="170" t="s">
        <v>2423</v>
      </c>
      <c r="P39" s="170" t="s">
        <v>1782</v>
      </c>
      <c r="Q39" s="170">
        <v>0.13100000000000001</v>
      </c>
      <c r="R39" s="170" t="s">
        <v>2424</v>
      </c>
      <c r="S39" s="171">
        <v>3.1E-2</v>
      </c>
      <c r="U39" s="170" t="s">
        <v>347</v>
      </c>
      <c r="V39" s="170" t="s">
        <v>1793</v>
      </c>
      <c r="W39" s="170" t="s">
        <v>1794</v>
      </c>
      <c r="X39" s="170">
        <v>0.19900000000000001</v>
      </c>
      <c r="Y39" s="170" t="s">
        <v>1795</v>
      </c>
      <c r="Z39" s="171">
        <v>2.3E-2</v>
      </c>
    </row>
    <row r="40" spans="2:26" ht="93" thickBot="1" x14ac:dyDescent="0.35">
      <c r="B40" s="180" t="s">
        <v>343</v>
      </c>
      <c r="C40" s="154"/>
      <c r="D40" s="154"/>
      <c r="E40" s="154"/>
      <c r="F40" s="154"/>
      <c r="G40" s="154"/>
      <c r="H40" s="155"/>
      <c r="I40" s="155"/>
      <c r="J40" s="155"/>
      <c r="K40" s="155"/>
      <c r="L40" s="155"/>
      <c r="N40" s="172" t="s">
        <v>1185</v>
      </c>
      <c r="O40" s="170"/>
      <c r="P40" s="170"/>
      <c r="Q40" s="170"/>
      <c r="R40" s="170"/>
      <c r="S40" s="171"/>
      <c r="U40" s="170" t="s">
        <v>1201</v>
      </c>
      <c r="V40" s="170" t="s">
        <v>1796</v>
      </c>
      <c r="W40" s="170" t="s">
        <v>1797</v>
      </c>
      <c r="X40" s="170">
        <v>2.5000000000000001E-2</v>
      </c>
      <c r="Y40" s="170" t="s">
        <v>1798</v>
      </c>
      <c r="Z40" s="171">
        <v>7.0000000000000001E-3</v>
      </c>
    </row>
    <row r="41" spans="2:26" ht="93" thickBot="1" x14ac:dyDescent="0.35">
      <c r="B41" s="180" t="s">
        <v>1501</v>
      </c>
      <c r="C41" s="154" t="s">
        <v>1784</v>
      </c>
      <c r="D41" s="154" t="s">
        <v>1785</v>
      </c>
      <c r="E41" s="154">
        <v>0.188</v>
      </c>
      <c r="F41" s="154" t="s">
        <v>1786</v>
      </c>
      <c r="G41" s="154">
        <v>7.1999999999999995E-2</v>
      </c>
      <c r="H41" s="155" t="s">
        <v>2425</v>
      </c>
      <c r="I41" s="155" t="s">
        <v>1785</v>
      </c>
      <c r="J41" s="155">
        <v>0.17799999999999999</v>
      </c>
      <c r="K41" s="155" t="s">
        <v>2426</v>
      </c>
      <c r="L41" s="155">
        <v>9.4E-2</v>
      </c>
      <c r="N41" s="170" t="s">
        <v>1186</v>
      </c>
      <c r="O41" s="170" t="s">
        <v>2425</v>
      </c>
      <c r="P41" s="170" t="s">
        <v>1785</v>
      </c>
      <c r="Q41" s="170">
        <v>0.17799999999999999</v>
      </c>
      <c r="R41" s="170" t="s">
        <v>2426</v>
      </c>
      <c r="S41" s="171">
        <v>9.4E-2</v>
      </c>
      <c r="U41" s="170" t="s">
        <v>1205</v>
      </c>
      <c r="V41" s="170" t="s">
        <v>1799</v>
      </c>
      <c r="W41" s="170" t="s">
        <v>1800</v>
      </c>
      <c r="X41" s="170">
        <v>3.5999999999999997E-2</v>
      </c>
      <c r="Y41" s="170" t="s">
        <v>1801</v>
      </c>
      <c r="Z41" s="171">
        <v>3.0000000000000001E-3</v>
      </c>
    </row>
    <row r="42" spans="2:26" ht="106.2" thickBot="1" x14ac:dyDescent="0.35">
      <c r="B42" s="180" t="s">
        <v>1502</v>
      </c>
      <c r="C42" s="154" t="s">
        <v>1787</v>
      </c>
      <c r="D42" s="154" t="s">
        <v>1788</v>
      </c>
      <c r="E42" s="154">
        <v>0.19800000000000001</v>
      </c>
      <c r="F42" s="154" t="s">
        <v>1789</v>
      </c>
      <c r="G42" s="154">
        <v>8.0000000000000002E-3</v>
      </c>
      <c r="H42" s="155" t="s">
        <v>2427</v>
      </c>
      <c r="I42" s="155" t="s">
        <v>1788</v>
      </c>
      <c r="J42" s="155">
        <v>0.219</v>
      </c>
      <c r="K42" s="155" t="s">
        <v>2428</v>
      </c>
      <c r="L42" s="155">
        <v>2.7E-2</v>
      </c>
      <c r="N42" s="170" t="s">
        <v>1190</v>
      </c>
      <c r="O42" s="170" t="s">
        <v>2427</v>
      </c>
      <c r="P42" s="170" t="s">
        <v>1788</v>
      </c>
      <c r="Q42" s="170">
        <v>0.219</v>
      </c>
      <c r="R42" s="170" t="s">
        <v>2428</v>
      </c>
      <c r="S42" s="171">
        <v>2.7E-2</v>
      </c>
      <c r="U42" s="170" t="s">
        <v>1209</v>
      </c>
      <c r="V42" s="170" t="s">
        <v>1802</v>
      </c>
      <c r="W42" s="170" t="s">
        <v>1803</v>
      </c>
      <c r="X42" s="170">
        <v>8.0000000000000002E-3</v>
      </c>
      <c r="Y42" s="170" t="s">
        <v>1804</v>
      </c>
      <c r="Z42" s="171">
        <v>2.7E-2</v>
      </c>
    </row>
    <row r="43" spans="2:26" ht="119.4" thickBot="1" x14ac:dyDescent="0.35">
      <c r="B43" s="180" t="s">
        <v>1503</v>
      </c>
      <c r="C43" s="154" t="s">
        <v>1790</v>
      </c>
      <c r="D43" s="154" t="s">
        <v>1791</v>
      </c>
      <c r="E43" s="154">
        <v>2.5000000000000001E-2</v>
      </c>
      <c r="F43" s="154" t="s">
        <v>1792</v>
      </c>
      <c r="G43" s="154">
        <v>5.1999999999999998E-2</v>
      </c>
      <c r="H43" s="155" t="s">
        <v>2429</v>
      </c>
      <c r="I43" s="155" t="s">
        <v>1791</v>
      </c>
      <c r="J43" s="155">
        <v>2E-3</v>
      </c>
      <c r="K43" s="155" t="s">
        <v>2430</v>
      </c>
      <c r="L43" s="155">
        <v>7.9000000000000001E-2</v>
      </c>
      <c r="N43" s="170" t="s">
        <v>1194</v>
      </c>
      <c r="O43" s="170" t="s">
        <v>2429</v>
      </c>
      <c r="P43" s="170" t="s">
        <v>1791</v>
      </c>
      <c r="Q43" s="170">
        <v>2E-3</v>
      </c>
      <c r="R43" s="170" t="s">
        <v>2430</v>
      </c>
      <c r="S43" s="171">
        <v>7.9000000000000001E-2</v>
      </c>
      <c r="U43" s="170" t="s">
        <v>1213</v>
      </c>
      <c r="V43" s="170" t="s">
        <v>1805</v>
      </c>
      <c r="W43" s="170" t="s">
        <v>1806</v>
      </c>
      <c r="X43" s="170">
        <v>7.6999999999999999E-2</v>
      </c>
      <c r="Y43" s="170" t="s">
        <v>1807</v>
      </c>
      <c r="Z43" s="171">
        <v>6.3E-2</v>
      </c>
    </row>
    <row r="44" spans="2:26" ht="106.2" thickBot="1" x14ac:dyDescent="0.35">
      <c r="B44" s="180" t="s">
        <v>1504</v>
      </c>
      <c r="C44" s="154" t="s">
        <v>1793</v>
      </c>
      <c r="D44" s="154" t="s">
        <v>1794</v>
      </c>
      <c r="E44" s="154">
        <v>0.19900000000000001</v>
      </c>
      <c r="F44" s="154" t="s">
        <v>1795</v>
      </c>
      <c r="G44" s="154">
        <v>2.3E-2</v>
      </c>
      <c r="H44" s="155" t="s">
        <v>2431</v>
      </c>
      <c r="I44" s="155" t="s">
        <v>1794</v>
      </c>
      <c r="J44" s="155">
        <v>0.20499999999999999</v>
      </c>
      <c r="K44" s="155" t="s">
        <v>2432</v>
      </c>
      <c r="L44" s="155">
        <v>1.6E-2</v>
      </c>
      <c r="N44" s="170" t="s">
        <v>347</v>
      </c>
      <c r="O44" s="170" t="s">
        <v>2431</v>
      </c>
      <c r="P44" s="170" t="s">
        <v>1794</v>
      </c>
      <c r="Q44" s="170">
        <v>0.20499999999999999</v>
      </c>
      <c r="R44" s="170" t="s">
        <v>2432</v>
      </c>
      <c r="S44" s="171">
        <v>1.6E-2</v>
      </c>
      <c r="U44" s="170" t="s">
        <v>1217</v>
      </c>
      <c r="V44" s="170" t="s">
        <v>1808</v>
      </c>
      <c r="W44" s="170" t="s">
        <v>1809</v>
      </c>
      <c r="X44" s="170">
        <v>8.8999999999999996E-2</v>
      </c>
      <c r="Y44" s="170" t="s">
        <v>1810</v>
      </c>
      <c r="Z44" s="171">
        <v>6.0999999999999999E-2</v>
      </c>
    </row>
    <row r="45" spans="2:26" ht="106.2" thickBot="1" x14ac:dyDescent="0.35">
      <c r="B45" s="180" t="s">
        <v>348</v>
      </c>
      <c r="C45" s="154"/>
      <c r="D45" s="154"/>
      <c r="E45" s="154"/>
      <c r="F45" s="154"/>
      <c r="G45" s="154"/>
      <c r="H45" s="155"/>
      <c r="I45" s="155"/>
      <c r="J45" s="155"/>
      <c r="K45" s="155"/>
      <c r="L45" s="155"/>
      <c r="N45" s="170"/>
      <c r="O45" s="170"/>
      <c r="P45" s="170"/>
      <c r="Q45" s="170"/>
      <c r="R45" s="170"/>
      <c r="S45" s="171"/>
      <c r="U45" s="170" t="s">
        <v>1221</v>
      </c>
      <c r="V45" s="170" t="s">
        <v>1811</v>
      </c>
      <c r="W45" s="170" t="s">
        <v>1812</v>
      </c>
      <c r="X45" s="170">
        <v>5.1999999999999998E-2</v>
      </c>
      <c r="Y45" s="170" t="s">
        <v>1813</v>
      </c>
      <c r="Z45" s="171">
        <v>3.0000000000000001E-3</v>
      </c>
    </row>
    <row r="46" spans="2:26" ht="132.6" thickBot="1" x14ac:dyDescent="0.35">
      <c r="B46" s="180" t="s">
        <v>349</v>
      </c>
      <c r="C46" s="154" t="s">
        <v>1796</v>
      </c>
      <c r="D46" s="154" t="s">
        <v>1797</v>
      </c>
      <c r="E46" s="154">
        <v>2.5000000000000001E-2</v>
      </c>
      <c r="F46" s="154" t="s">
        <v>1798</v>
      </c>
      <c r="G46" s="154">
        <v>7.0000000000000001E-3</v>
      </c>
      <c r="H46" s="155" t="s">
        <v>2433</v>
      </c>
      <c r="I46" s="155" t="s">
        <v>1797</v>
      </c>
      <c r="J46" s="155">
        <v>2.7E-2</v>
      </c>
      <c r="K46" s="155" t="s">
        <v>2434</v>
      </c>
      <c r="L46" s="155">
        <v>4.0000000000000001E-3</v>
      </c>
      <c r="N46" s="170" t="s">
        <v>1201</v>
      </c>
      <c r="O46" s="170" t="s">
        <v>2433</v>
      </c>
      <c r="P46" s="170" t="s">
        <v>1797</v>
      </c>
      <c r="Q46" s="170">
        <v>2.7E-2</v>
      </c>
      <c r="R46" s="170" t="s">
        <v>2434</v>
      </c>
      <c r="S46" s="171">
        <v>4.0000000000000001E-3</v>
      </c>
      <c r="U46" s="170" t="s">
        <v>1225</v>
      </c>
      <c r="V46" s="170" t="s">
        <v>1814</v>
      </c>
      <c r="W46" s="170" t="s">
        <v>1815</v>
      </c>
      <c r="X46" s="170">
        <v>0.45300000000000001</v>
      </c>
      <c r="Y46" s="170" t="s">
        <v>1816</v>
      </c>
      <c r="Z46" s="171">
        <v>0.15</v>
      </c>
    </row>
    <row r="47" spans="2:26" ht="145.80000000000001" thickBot="1" x14ac:dyDescent="0.35">
      <c r="B47" s="180" t="s">
        <v>1505</v>
      </c>
      <c r="C47" s="154" t="s">
        <v>1799</v>
      </c>
      <c r="D47" s="154" t="s">
        <v>1800</v>
      </c>
      <c r="E47" s="154">
        <v>3.5999999999999997E-2</v>
      </c>
      <c r="F47" s="154" t="s">
        <v>1801</v>
      </c>
      <c r="G47" s="154">
        <v>3.0000000000000001E-3</v>
      </c>
      <c r="H47" s="155" t="s">
        <v>2435</v>
      </c>
      <c r="I47" s="155" t="s">
        <v>1800</v>
      </c>
      <c r="J47" s="155">
        <v>0.04</v>
      </c>
      <c r="K47" s="155" t="s">
        <v>2436</v>
      </c>
      <c r="L47" s="155">
        <v>0.01</v>
      </c>
      <c r="N47" s="170" t="s">
        <v>1205</v>
      </c>
      <c r="O47" s="170" t="s">
        <v>2435</v>
      </c>
      <c r="P47" s="170" t="s">
        <v>1800</v>
      </c>
      <c r="Q47" s="170">
        <v>0.04</v>
      </c>
      <c r="R47" s="170" t="s">
        <v>2436</v>
      </c>
      <c r="S47" s="171">
        <v>0.01</v>
      </c>
      <c r="U47" s="170" t="s">
        <v>1229</v>
      </c>
      <c r="V47" s="170" t="s">
        <v>855</v>
      </c>
      <c r="W47" s="170" t="s">
        <v>1817</v>
      </c>
      <c r="X47" s="170">
        <v>0.55400000000000005</v>
      </c>
      <c r="Y47" s="170" t="s">
        <v>1818</v>
      </c>
      <c r="Z47" s="171">
        <v>0.50600000000000001</v>
      </c>
    </row>
    <row r="48" spans="2:26" ht="132.6" thickBot="1" x14ac:dyDescent="0.35">
      <c r="B48" s="180" t="s">
        <v>351</v>
      </c>
      <c r="C48" s="154" t="s">
        <v>1802</v>
      </c>
      <c r="D48" s="154" t="s">
        <v>1803</v>
      </c>
      <c r="E48" s="154">
        <v>8.0000000000000002E-3</v>
      </c>
      <c r="F48" s="154" t="s">
        <v>1804</v>
      </c>
      <c r="G48" s="154">
        <v>2.7E-2</v>
      </c>
      <c r="H48" s="155" t="s">
        <v>2437</v>
      </c>
      <c r="I48" s="155" t="s">
        <v>1803</v>
      </c>
      <c r="J48" s="155">
        <v>7.5999999999999998E-2</v>
      </c>
      <c r="K48" s="155" t="s">
        <v>2438</v>
      </c>
      <c r="L48" s="155">
        <v>0.104</v>
      </c>
      <c r="N48" s="170" t="s">
        <v>1209</v>
      </c>
      <c r="O48" s="170" t="s">
        <v>2437</v>
      </c>
      <c r="P48" s="170" t="s">
        <v>1803</v>
      </c>
      <c r="Q48" s="170">
        <v>7.5999999999999998E-2</v>
      </c>
      <c r="R48" s="170" t="s">
        <v>2438</v>
      </c>
      <c r="S48" s="171">
        <v>0.104</v>
      </c>
      <c r="U48" s="170" t="s">
        <v>1232</v>
      </c>
      <c r="V48" s="170" t="s">
        <v>1819</v>
      </c>
      <c r="W48" s="170" t="s">
        <v>855</v>
      </c>
      <c r="X48" s="170">
        <v>0.129</v>
      </c>
      <c r="Y48" s="170" t="s">
        <v>855</v>
      </c>
      <c r="Z48" s="171">
        <v>0.129</v>
      </c>
    </row>
    <row r="49" spans="2:26" ht="145.80000000000001" thickBot="1" x14ac:dyDescent="0.35">
      <c r="B49" s="180" t="s">
        <v>1506</v>
      </c>
      <c r="C49" s="154" t="s">
        <v>1805</v>
      </c>
      <c r="D49" s="154" t="s">
        <v>1806</v>
      </c>
      <c r="E49" s="154">
        <v>7.6999999999999999E-2</v>
      </c>
      <c r="F49" s="154" t="s">
        <v>1807</v>
      </c>
      <c r="G49" s="154">
        <v>6.3E-2</v>
      </c>
      <c r="H49" s="155" t="s">
        <v>2439</v>
      </c>
      <c r="I49" s="155" t="s">
        <v>1806</v>
      </c>
      <c r="J49" s="155">
        <v>8.7999999999999995E-2</v>
      </c>
      <c r="K49" s="155" t="s">
        <v>2440</v>
      </c>
      <c r="L49" s="155">
        <v>5.3999999999999999E-2</v>
      </c>
      <c r="N49" s="170" t="s">
        <v>1213</v>
      </c>
      <c r="O49" s="170" t="s">
        <v>2439</v>
      </c>
      <c r="P49" s="170" t="s">
        <v>1806</v>
      </c>
      <c r="Q49" s="170">
        <v>8.7999999999999995E-2</v>
      </c>
      <c r="R49" s="170" t="s">
        <v>2440</v>
      </c>
      <c r="S49" s="171">
        <v>5.3999999999999999E-2</v>
      </c>
      <c r="U49" s="170" t="s">
        <v>1236</v>
      </c>
      <c r="V49" s="170" t="s">
        <v>1820</v>
      </c>
      <c r="W49" s="170" t="s">
        <v>1821</v>
      </c>
      <c r="X49" s="170">
        <v>5.3999999999999999E-2</v>
      </c>
      <c r="Y49" s="170" t="s">
        <v>1822</v>
      </c>
      <c r="Z49" s="171">
        <v>1E-3</v>
      </c>
    </row>
    <row r="50" spans="2:26" ht="132.6" thickBot="1" x14ac:dyDescent="0.35">
      <c r="B50" s="180" t="s">
        <v>353</v>
      </c>
      <c r="C50" s="154" t="s">
        <v>1808</v>
      </c>
      <c r="D50" s="154" t="s">
        <v>1809</v>
      </c>
      <c r="E50" s="154">
        <v>8.8999999999999996E-2</v>
      </c>
      <c r="F50" s="154" t="s">
        <v>1810</v>
      </c>
      <c r="G50" s="154">
        <v>6.0999999999999999E-2</v>
      </c>
      <c r="H50" s="155" t="s">
        <v>2441</v>
      </c>
      <c r="I50" s="155" t="s">
        <v>1809</v>
      </c>
      <c r="J50" s="155">
        <v>5.7000000000000002E-2</v>
      </c>
      <c r="K50" s="155" t="s">
        <v>2442</v>
      </c>
      <c r="L50" s="155">
        <v>5.2999999999999999E-2</v>
      </c>
      <c r="N50" s="170" t="s">
        <v>1217</v>
      </c>
      <c r="O50" s="170" t="s">
        <v>2441</v>
      </c>
      <c r="P50" s="170" t="s">
        <v>1809</v>
      </c>
      <c r="Q50" s="170">
        <v>5.7000000000000002E-2</v>
      </c>
      <c r="R50" s="170" t="s">
        <v>2442</v>
      </c>
      <c r="S50" s="171">
        <v>5.2999999999999999E-2</v>
      </c>
      <c r="U50" s="170" t="s">
        <v>1240</v>
      </c>
      <c r="V50" s="170" t="s">
        <v>1823</v>
      </c>
      <c r="W50" s="170" t="s">
        <v>1824</v>
      </c>
      <c r="X50" s="170">
        <v>0.20899999999999999</v>
      </c>
      <c r="Y50" s="170" t="s">
        <v>1825</v>
      </c>
      <c r="Z50" s="171">
        <v>5.6000000000000001E-2</v>
      </c>
    </row>
    <row r="51" spans="2:26" ht="106.2" thickBot="1" x14ac:dyDescent="0.35">
      <c r="B51" s="180" t="s">
        <v>354</v>
      </c>
      <c r="C51" s="154" t="s">
        <v>1811</v>
      </c>
      <c r="D51" s="154" t="s">
        <v>1812</v>
      </c>
      <c r="E51" s="154">
        <v>5.1999999999999998E-2</v>
      </c>
      <c r="F51" s="154" t="s">
        <v>1813</v>
      </c>
      <c r="G51" s="154">
        <v>3.0000000000000001E-3</v>
      </c>
      <c r="H51" s="155" t="s">
        <v>2443</v>
      </c>
      <c r="I51" s="155" t="s">
        <v>1812</v>
      </c>
      <c r="J51" s="155">
        <v>4.2999999999999997E-2</v>
      </c>
      <c r="K51" s="155" t="s">
        <v>2444</v>
      </c>
      <c r="L51" s="155">
        <v>1E-3</v>
      </c>
      <c r="N51" s="170" t="s">
        <v>1221</v>
      </c>
      <c r="O51" s="170" t="s">
        <v>2443</v>
      </c>
      <c r="P51" s="170" t="s">
        <v>1812</v>
      </c>
      <c r="Q51" s="170">
        <v>4.2999999999999997E-2</v>
      </c>
      <c r="R51" s="170" t="s">
        <v>2444</v>
      </c>
      <c r="S51" s="171">
        <v>1E-3</v>
      </c>
      <c r="U51" s="170" t="s">
        <v>1244</v>
      </c>
      <c r="V51" s="170" t="s">
        <v>1826</v>
      </c>
      <c r="W51" s="170" t="s">
        <v>1827</v>
      </c>
      <c r="X51" s="170">
        <v>0.33600000000000002</v>
      </c>
      <c r="Y51" s="170" t="s">
        <v>1828</v>
      </c>
      <c r="Z51" s="171">
        <v>7.5999999999999998E-2</v>
      </c>
    </row>
    <row r="52" spans="2:26" ht="66.599999999999994" thickBot="1" x14ac:dyDescent="0.35">
      <c r="B52" s="180" t="s">
        <v>355</v>
      </c>
      <c r="C52" s="154"/>
      <c r="D52" s="154"/>
      <c r="E52" s="154"/>
      <c r="F52" s="154"/>
      <c r="G52" s="154"/>
      <c r="H52" s="155"/>
      <c r="I52" s="155"/>
      <c r="J52" s="155"/>
      <c r="K52" s="155"/>
      <c r="L52" s="155"/>
      <c r="N52" s="170"/>
      <c r="O52" s="170"/>
      <c r="P52" s="170"/>
      <c r="Q52" s="170"/>
      <c r="R52" s="170"/>
      <c r="S52" s="171"/>
      <c r="U52" s="170" t="s">
        <v>1248</v>
      </c>
      <c r="V52" s="170" t="s">
        <v>1829</v>
      </c>
      <c r="W52" s="170" t="s">
        <v>1830</v>
      </c>
      <c r="X52" s="170">
        <v>0.26500000000000001</v>
      </c>
      <c r="Y52" s="170" t="s">
        <v>1831</v>
      </c>
      <c r="Z52" s="171">
        <v>0.04</v>
      </c>
    </row>
    <row r="53" spans="2:26" ht="132.6" thickBot="1" x14ac:dyDescent="0.35">
      <c r="B53" s="180" t="s">
        <v>356</v>
      </c>
      <c r="C53" s="154" t="s">
        <v>1814</v>
      </c>
      <c r="D53" s="154" t="s">
        <v>1815</v>
      </c>
      <c r="E53" s="154">
        <v>0.45300000000000001</v>
      </c>
      <c r="F53" s="154" t="s">
        <v>1816</v>
      </c>
      <c r="G53" s="154">
        <v>0.15</v>
      </c>
      <c r="H53" s="155" t="s">
        <v>2445</v>
      </c>
      <c r="I53" s="155" t="s">
        <v>1815</v>
      </c>
      <c r="J53" s="155">
        <v>0.44900000000000001</v>
      </c>
      <c r="K53" s="155" t="s">
        <v>2446</v>
      </c>
      <c r="L53" s="155">
        <v>0.154</v>
      </c>
      <c r="N53" s="170" t="s">
        <v>1225</v>
      </c>
      <c r="O53" s="170" t="s">
        <v>2445</v>
      </c>
      <c r="P53" s="170" t="s">
        <v>1815</v>
      </c>
      <c r="Q53" s="170">
        <v>0.44900000000000001</v>
      </c>
      <c r="R53" s="170" t="s">
        <v>2446</v>
      </c>
      <c r="S53" s="171">
        <v>0.154</v>
      </c>
      <c r="U53" s="170" t="s">
        <v>1252</v>
      </c>
      <c r="V53" s="170" t="s">
        <v>1832</v>
      </c>
      <c r="W53" s="170" t="s">
        <v>1833</v>
      </c>
      <c r="X53" s="170">
        <v>2.1999999999999999E-2</v>
      </c>
      <c r="Y53" s="170" t="s">
        <v>1834</v>
      </c>
      <c r="Z53" s="171">
        <v>2.1999999999999999E-2</v>
      </c>
    </row>
    <row r="54" spans="2:26" ht="145.80000000000001" thickBot="1" x14ac:dyDescent="0.35">
      <c r="B54" s="180" t="s">
        <v>1507</v>
      </c>
      <c r="C54" s="154" t="s">
        <v>855</v>
      </c>
      <c r="D54" s="154" t="s">
        <v>1817</v>
      </c>
      <c r="E54" s="154">
        <v>0.55400000000000005</v>
      </c>
      <c r="F54" s="154" t="s">
        <v>1818</v>
      </c>
      <c r="G54" s="154">
        <v>0.50600000000000001</v>
      </c>
      <c r="H54" s="155" t="s">
        <v>855</v>
      </c>
      <c r="I54" s="155" t="s">
        <v>1817</v>
      </c>
      <c r="J54" s="155">
        <v>0.55400000000000005</v>
      </c>
      <c r="K54" s="155" t="s">
        <v>2447</v>
      </c>
      <c r="L54" s="155">
        <v>0.504</v>
      </c>
      <c r="N54" s="170" t="s">
        <v>1229</v>
      </c>
      <c r="O54" s="170" t="s">
        <v>855</v>
      </c>
      <c r="P54" s="170" t="s">
        <v>1817</v>
      </c>
      <c r="Q54" s="170">
        <v>0.55400000000000005</v>
      </c>
      <c r="R54" s="170" t="s">
        <v>2447</v>
      </c>
      <c r="S54" s="171">
        <v>0.504</v>
      </c>
      <c r="U54" s="170" t="s">
        <v>1256</v>
      </c>
      <c r="V54" s="170" t="s">
        <v>1835</v>
      </c>
      <c r="W54" s="170" t="s">
        <v>1836</v>
      </c>
      <c r="X54" s="170">
        <v>2.5999999999999999E-2</v>
      </c>
      <c r="Y54" s="170" t="s">
        <v>1837</v>
      </c>
      <c r="Z54" s="171">
        <v>1E-3</v>
      </c>
    </row>
    <row r="55" spans="2:26" ht="145.80000000000001" thickBot="1" x14ac:dyDescent="0.35">
      <c r="B55" s="180" t="s">
        <v>357</v>
      </c>
      <c r="C55" s="154" t="s">
        <v>1819</v>
      </c>
      <c r="D55" s="154" t="s">
        <v>855</v>
      </c>
      <c r="E55" s="154">
        <v>0.129</v>
      </c>
      <c r="F55" s="154" t="s">
        <v>855</v>
      </c>
      <c r="G55" s="154">
        <v>0.129</v>
      </c>
      <c r="H55" s="155" t="s">
        <v>2448</v>
      </c>
      <c r="I55" s="155" t="s">
        <v>855</v>
      </c>
      <c r="J55" s="155">
        <v>0.34200000000000003</v>
      </c>
      <c r="K55" s="155" t="s">
        <v>855</v>
      </c>
      <c r="L55" s="155">
        <v>0.34200000000000003</v>
      </c>
      <c r="N55" s="170" t="s">
        <v>1232</v>
      </c>
      <c r="O55" s="170" t="s">
        <v>2448</v>
      </c>
      <c r="P55" s="170" t="s">
        <v>855</v>
      </c>
      <c r="Q55" s="170">
        <v>0.34200000000000003</v>
      </c>
      <c r="R55" s="170" t="s">
        <v>855</v>
      </c>
      <c r="S55" s="171">
        <v>0.34200000000000003</v>
      </c>
      <c r="U55" s="170" t="s">
        <v>1260</v>
      </c>
      <c r="V55" s="170" t="s">
        <v>1838</v>
      </c>
      <c r="W55" s="170" t="s">
        <v>1839</v>
      </c>
      <c r="X55" s="170">
        <v>4.4999999999999998E-2</v>
      </c>
      <c r="Y55" s="170" t="s">
        <v>1668</v>
      </c>
      <c r="Z55" s="171">
        <v>5.0999999999999997E-2</v>
      </c>
    </row>
    <row r="56" spans="2:26" ht="145.80000000000001" thickBot="1" x14ac:dyDescent="0.35">
      <c r="B56" s="180" t="s">
        <v>358</v>
      </c>
      <c r="C56" s="154" t="s">
        <v>1820</v>
      </c>
      <c r="D56" s="154" t="s">
        <v>1821</v>
      </c>
      <c r="E56" s="154">
        <v>5.3999999999999999E-2</v>
      </c>
      <c r="F56" s="154" t="s">
        <v>1822</v>
      </c>
      <c r="G56" s="154">
        <v>1E-3</v>
      </c>
      <c r="H56" s="155" t="s">
        <v>2449</v>
      </c>
      <c r="I56" s="155" t="s">
        <v>1821</v>
      </c>
      <c r="J56" s="155">
        <v>0.20699999999999999</v>
      </c>
      <c r="K56" s="155" t="s">
        <v>2450</v>
      </c>
      <c r="L56" s="155">
        <v>0.16900000000000001</v>
      </c>
      <c r="N56" s="170" t="s">
        <v>1236</v>
      </c>
      <c r="O56" s="170" t="s">
        <v>2449</v>
      </c>
      <c r="P56" s="170" t="s">
        <v>1821</v>
      </c>
      <c r="Q56" s="170">
        <v>0.20699999999999999</v>
      </c>
      <c r="R56" s="170" t="s">
        <v>2450</v>
      </c>
      <c r="S56" s="171">
        <v>0.16900000000000001</v>
      </c>
      <c r="U56" s="170" t="s">
        <v>1264</v>
      </c>
      <c r="V56" s="170" t="s">
        <v>1840</v>
      </c>
      <c r="W56" s="170" t="s">
        <v>1841</v>
      </c>
      <c r="X56" s="170">
        <v>2E-3</v>
      </c>
      <c r="Y56" s="170" t="s">
        <v>1842</v>
      </c>
      <c r="Z56" s="171">
        <v>1.4999999999999999E-2</v>
      </c>
    </row>
    <row r="57" spans="2:26" ht="132.6" thickBot="1" x14ac:dyDescent="0.35">
      <c r="B57" s="180" t="s">
        <v>359</v>
      </c>
      <c r="C57" s="154" t="s">
        <v>1823</v>
      </c>
      <c r="D57" s="154" t="s">
        <v>1824</v>
      </c>
      <c r="E57" s="154">
        <v>0.20899999999999999</v>
      </c>
      <c r="F57" s="154" t="s">
        <v>1825</v>
      </c>
      <c r="G57" s="154">
        <v>5.6000000000000001E-2</v>
      </c>
      <c r="H57" s="155" t="s">
        <v>2451</v>
      </c>
      <c r="I57" s="155" t="s">
        <v>1824</v>
      </c>
      <c r="J57" s="155">
        <v>0.27600000000000002</v>
      </c>
      <c r="K57" s="155" t="s">
        <v>2452</v>
      </c>
      <c r="L57" s="155">
        <v>0.14199999999999999</v>
      </c>
      <c r="N57" s="170" t="s">
        <v>1240</v>
      </c>
      <c r="O57" s="170" t="s">
        <v>2451</v>
      </c>
      <c r="P57" s="170" t="s">
        <v>1824</v>
      </c>
      <c r="Q57" s="170">
        <v>0.27600000000000002</v>
      </c>
      <c r="R57" s="170" t="s">
        <v>2452</v>
      </c>
      <c r="S57" s="171">
        <v>0.14199999999999999</v>
      </c>
      <c r="U57" s="170" t="s">
        <v>1268</v>
      </c>
      <c r="V57" s="170" t="s">
        <v>1843</v>
      </c>
      <c r="W57" s="170" t="s">
        <v>1844</v>
      </c>
      <c r="X57" s="170">
        <v>2.9000000000000001E-2</v>
      </c>
      <c r="Y57" s="170" t="s">
        <v>1845</v>
      </c>
      <c r="Z57" s="171">
        <v>2.3E-2</v>
      </c>
    </row>
    <row r="58" spans="2:26" ht="106.2" thickBot="1" x14ac:dyDescent="0.35">
      <c r="B58" s="180" t="s">
        <v>360</v>
      </c>
      <c r="C58" s="154" t="s">
        <v>1826</v>
      </c>
      <c r="D58" s="154" t="s">
        <v>1827</v>
      </c>
      <c r="E58" s="154">
        <v>0.33600000000000002</v>
      </c>
      <c r="F58" s="154" t="s">
        <v>1828</v>
      </c>
      <c r="G58" s="154">
        <v>7.5999999999999998E-2</v>
      </c>
      <c r="H58" s="155" t="s">
        <v>2453</v>
      </c>
      <c r="I58" s="155" t="s">
        <v>1827</v>
      </c>
      <c r="J58" s="155">
        <v>0.38100000000000001</v>
      </c>
      <c r="K58" s="155" t="s">
        <v>2454</v>
      </c>
      <c r="L58" s="155">
        <v>3.5999999999999997E-2</v>
      </c>
      <c r="N58" s="170" t="s">
        <v>1244</v>
      </c>
      <c r="O58" s="170" t="s">
        <v>2453</v>
      </c>
      <c r="P58" s="170" t="s">
        <v>1827</v>
      </c>
      <c r="Q58" s="170">
        <v>0.38100000000000001</v>
      </c>
      <c r="R58" s="170" t="s">
        <v>2454</v>
      </c>
      <c r="S58" s="171">
        <v>3.5999999999999997E-2</v>
      </c>
      <c r="U58" s="170" t="s">
        <v>1272</v>
      </c>
      <c r="V58" s="170" t="s">
        <v>1846</v>
      </c>
      <c r="W58" s="170" t="s">
        <v>1847</v>
      </c>
      <c r="X58" s="170">
        <v>1.9E-2</v>
      </c>
      <c r="Y58" s="170" t="s">
        <v>1848</v>
      </c>
      <c r="Z58" s="171">
        <v>2.5999999999999999E-2</v>
      </c>
    </row>
    <row r="59" spans="2:26" ht="93" thickBot="1" x14ac:dyDescent="0.35">
      <c r="B59" s="180" t="s">
        <v>361</v>
      </c>
      <c r="C59" s="154" t="s">
        <v>1829</v>
      </c>
      <c r="D59" s="154" t="s">
        <v>1830</v>
      </c>
      <c r="E59" s="154">
        <v>0.26500000000000001</v>
      </c>
      <c r="F59" s="154" t="s">
        <v>1831</v>
      </c>
      <c r="G59" s="154">
        <v>0.04</v>
      </c>
      <c r="H59" s="155" t="s">
        <v>2455</v>
      </c>
      <c r="I59" s="155" t="s">
        <v>1830</v>
      </c>
      <c r="J59" s="155">
        <v>0.27900000000000003</v>
      </c>
      <c r="K59" s="155" t="s">
        <v>2456</v>
      </c>
      <c r="L59" s="155">
        <v>4.8000000000000001E-2</v>
      </c>
      <c r="N59" s="170" t="s">
        <v>1248</v>
      </c>
      <c r="O59" s="170" t="s">
        <v>2455</v>
      </c>
      <c r="P59" s="170" t="s">
        <v>1830</v>
      </c>
      <c r="Q59" s="170">
        <v>0.27900000000000003</v>
      </c>
      <c r="R59" s="170" t="s">
        <v>2456</v>
      </c>
      <c r="S59" s="171">
        <v>4.8000000000000001E-2</v>
      </c>
      <c r="U59" s="170" t="s">
        <v>1276</v>
      </c>
      <c r="V59" s="170" t="s">
        <v>1849</v>
      </c>
      <c r="W59" s="170" t="s">
        <v>1850</v>
      </c>
      <c r="X59" s="170">
        <v>5.2999999999999999E-2</v>
      </c>
      <c r="Y59" s="170" t="s">
        <v>1851</v>
      </c>
      <c r="Z59" s="171">
        <v>1.4E-2</v>
      </c>
    </row>
    <row r="60" spans="2:26" ht="106.2" thickBot="1" x14ac:dyDescent="0.35">
      <c r="B60" s="180" t="s">
        <v>362</v>
      </c>
      <c r="C60" s="154" t="s">
        <v>1832</v>
      </c>
      <c r="D60" s="154" t="s">
        <v>1833</v>
      </c>
      <c r="E60" s="154">
        <v>2.1999999999999999E-2</v>
      </c>
      <c r="F60" s="154" t="s">
        <v>1834</v>
      </c>
      <c r="G60" s="154">
        <v>2.1999999999999999E-2</v>
      </c>
      <c r="H60" s="155" t="s">
        <v>2457</v>
      </c>
      <c r="I60" s="155" t="s">
        <v>1833</v>
      </c>
      <c r="J60" s="155">
        <v>7.3999999999999996E-2</v>
      </c>
      <c r="K60" s="155" t="s">
        <v>2458</v>
      </c>
      <c r="L60" s="155">
        <v>7.3999999999999996E-2</v>
      </c>
      <c r="N60" s="170" t="s">
        <v>1252</v>
      </c>
      <c r="O60" s="170" t="s">
        <v>2457</v>
      </c>
      <c r="P60" s="170" t="s">
        <v>1833</v>
      </c>
      <c r="Q60" s="170">
        <v>7.3999999999999996E-2</v>
      </c>
      <c r="R60" s="170" t="s">
        <v>2458</v>
      </c>
      <c r="S60" s="171">
        <v>7.3999999999999996E-2</v>
      </c>
      <c r="U60" s="170" t="s">
        <v>1280</v>
      </c>
      <c r="V60" s="170" t="s">
        <v>1852</v>
      </c>
      <c r="W60" s="170" t="s">
        <v>1853</v>
      </c>
      <c r="X60" s="170">
        <v>0.107</v>
      </c>
      <c r="Y60" s="170" t="s">
        <v>1854</v>
      </c>
      <c r="Z60" s="171">
        <v>0.01</v>
      </c>
    </row>
    <row r="61" spans="2:26" ht="106.2" thickBot="1" x14ac:dyDescent="0.35">
      <c r="B61" s="180" t="s">
        <v>1509</v>
      </c>
      <c r="C61" s="154" t="s">
        <v>1835</v>
      </c>
      <c r="D61" s="154" t="s">
        <v>1836</v>
      </c>
      <c r="E61" s="154">
        <v>2.5999999999999999E-2</v>
      </c>
      <c r="F61" s="154" t="s">
        <v>1837</v>
      </c>
      <c r="G61" s="154">
        <v>1E-3</v>
      </c>
      <c r="H61" s="155" t="s">
        <v>2459</v>
      </c>
      <c r="I61" s="155" t="s">
        <v>1836</v>
      </c>
      <c r="J61" s="155">
        <v>6.4000000000000001E-2</v>
      </c>
      <c r="K61" s="155" t="s">
        <v>2460</v>
      </c>
      <c r="L61" s="155">
        <v>4.9000000000000002E-2</v>
      </c>
      <c r="N61" s="170" t="s">
        <v>1256</v>
      </c>
      <c r="O61" s="170" t="s">
        <v>2459</v>
      </c>
      <c r="P61" s="170" t="s">
        <v>1836</v>
      </c>
      <c r="Q61" s="170">
        <v>6.4000000000000001E-2</v>
      </c>
      <c r="R61" s="170" t="s">
        <v>2460</v>
      </c>
      <c r="S61" s="171">
        <v>4.9000000000000002E-2</v>
      </c>
      <c r="U61" s="170" t="s">
        <v>1284</v>
      </c>
      <c r="V61" s="170" t="s">
        <v>1855</v>
      </c>
      <c r="W61" s="170" t="s">
        <v>1856</v>
      </c>
      <c r="X61" s="170">
        <v>0.14099999999999999</v>
      </c>
      <c r="Y61" s="170" t="s">
        <v>1857</v>
      </c>
      <c r="Z61" s="171">
        <v>2.1000000000000001E-2</v>
      </c>
    </row>
    <row r="62" spans="2:26" ht="145.80000000000001" thickBot="1" x14ac:dyDescent="0.35">
      <c r="B62" s="180" t="s">
        <v>1510</v>
      </c>
      <c r="C62" s="154" t="s">
        <v>1838</v>
      </c>
      <c r="D62" s="154" t="s">
        <v>1839</v>
      </c>
      <c r="E62" s="154">
        <v>4.4999999999999998E-2</v>
      </c>
      <c r="F62" s="154" t="s">
        <v>1668</v>
      </c>
      <c r="G62" s="154">
        <v>5.0999999999999997E-2</v>
      </c>
      <c r="H62" s="155" t="s">
        <v>2461</v>
      </c>
      <c r="I62" s="155" t="s">
        <v>1839</v>
      </c>
      <c r="J62" s="155">
        <v>5.6000000000000001E-2</v>
      </c>
      <c r="K62" s="155" t="s">
        <v>1667</v>
      </c>
      <c r="L62" s="155">
        <v>6.7000000000000004E-2</v>
      </c>
      <c r="N62" s="170" t="s">
        <v>1260</v>
      </c>
      <c r="O62" s="170" t="s">
        <v>2461</v>
      </c>
      <c r="P62" s="170" t="s">
        <v>1839</v>
      </c>
      <c r="Q62" s="170">
        <v>5.6000000000000001E-2</v>
      </c>
      <c r="R62" s="170" t="s">
        <v>1667</v>
      </c>
      <c r="S62" s="171">
        <v>6.7000000000000004E-2</v>
      </c>
      <c r="U62" s="170" t="s">
        <v>1288</v>
      </c>
      <c r="V62" s="170" t="s">
        <v>1858</v>
      </c>
      <c r="W62" s="170" t="s">
        <v>1859</v>
      </c>
      <c r="X62" s="170">
        <v>1.6E-2</v>
      </c>
      <c r="Y62" s="170" t="s">
        <v>1860</v>
      </c>
      <c r="Z62" s="171">
        <v>7.0000000000000001E-3</v>
      </c>
    </row>
    <row r="63" spans="2:26" ht="119.4" thickBot="1" x14ac:dyDescent="0.35">
      <c r="B63" s="180" t="s">
        <v>365</v>
      </c>
      <c r="C63" s="154" t="s">
        <v>1840</v>
      </c>
      <c r="D63" s="154" t="s">
        <v>1841</v>
      </c>
      <c r="E63" s="154">
        <v>2E-3</v>
      </c>
      <c r="F63" s="154" t="s">
        <v>1842</v>
      </c>
      <c r="G63" s="154">
        <v>1.4999999999999999E-2</v>
      </c>
      <c r="H63" s="155" t="s">
        <v>2462</v>
      </c>
      <c r="I63" s="155" t="s">
        <v>1841</v>
      </c>
      <c r="J63" s="155">
        <v>2E-3</v>
      </c>
      <c r="K63" s="155" t="s">
        <v>2463</v>
      </c>
      <c r="L63" s="155">
        <v>1.7999999999999999E-2</v>
      </c>
      <c r="N63" s="170" t="s">
        <v>1264</v>
      </c>
      <c r="O63" s="170" t="s">
        <v>2462</v>
      </c>
      <c r="P63" s="170" t="s">
        <v>1841</v>
      </c>
      <c r="Q63" s="170">
        <v>2E-3</v>
      </c>
      <c r="R63" s="170" t="s">
        <v>2463</v>
      </c>
      <c r="S63" s="171">
        <v>1.7999999999999999E-2</v>
      </c>
      <c r="U63" s="170" t="s">
        <v>1292</v>
      </c>
      <c r="V63" s="170" t="s">
        <v>1861</v>
      </c>
      <c r="W63" s="170" t="s">
        <v>1862</v>
      </c>
      <c r="X63" s="170">
        <v>3.1E-2</v>
      </c>
      <c r="Y63" s="170" t="s">
        <v>1863</v>
      </c>
      <c r="Z63" s="171">
        <v>2.1999999999999999E-2</v>
      </c>
    </row>
    <row r="64" spans="2:26" ht="119.4" thickBot="1" x14ac:dyDescent="0.35">
      <c r="B64" s="180" t="s">
        <v>366</v>
      </c>
      <c r="C64" s="154" t="s">
        <v>1843</v>
      </c>
      <c r="D64" s="154" t="s">
        <v>1844</v>
      </c>
      <c r="E64" s="154">
        <v>2.9000000000000001E-2</v>
      </c>
      <c r="F64" s="154" t="s">
        <v>1845</v>
      </c>
      <c r="G64" s="154">
        <v>2.3E-2</v>
      </c>
      <c r="H64" s="155" t="s">
        <v>2464</v>
      </c>
      <c r="I64" s="155" t="s">
        <v>1844</v>
      </c>
      <c r="J64" s="155">
        <v>3.3000000000000002E-2</v>
      </c>
      <c r="K64" s="155" t="s">
        <v>2465</v>
      </c>
      <c r="L64" s="155">
        <v>4.2000000000000003E-2</v>
      </c>
      <c r="N64" s="170" t="s">
        <v>1268</v>
      </c>
      <c r="O64" s="170" t="s">
        <v>2464</v>
      </c>
      <c r="P64" s="170" t="s">
        <v>1844</v>
      </c>
      <c r="Q64" s="170">
        <v>3.3000000000000002E-2</v>
      </c>
      <c r="R64" s="170" t="s">
        <v>2465</v>
      </c>
      <c r="S64" s="171">
        <v>4.2000000000000003E-2</v>
      </c>
      <c r="U64" s="170" t="s">
        <v>1295</v>
      </c>
      <c r="V64" s="170" t="s">
        <v>1864</v>
      </c>
      <c r="W64" s="170" t="s">
        <v>1865</v>
      </c>
      <c r="X64" s="170">
        <v>1.0999999999999999E-2</v>
      </c>
      <c r="Y64" s="170" t="s">
        <v>1866</v>
      </c>
      <c r="Z64" s="171">
        <v>8.0000000000000002E-3</v>
      </c>
    </row>
    <row r="65" spans="2:26" ht="106.2" thickBot="1" x14ac:dyDescent="0.35">
      <c r="B65" s="180" t="s">
        <v>1511</v>
      </c>
      <c r="C65" s="154" t="s">
        <v>1846</v>
      </c>
      <c r="D65" s="154" t="s">
        <v>1847</v>
      </c>
      <c r="E65" s="154">
        <v>1.9E-2</v>
      </c>
      <c r="F65" s="154" t="s">
        <v>1848</v>
      </c>
      <c r="G65" s="154">
        <v>2.5999999999999999E-2</v>
      </c>
      <c r="H65" s="155" t="s">
        <v>2466</v>
      </c>
      <c r="I65" s="155" t="s">
        <v>1847</v>
      </c>
      <c r="J65" s="155">
        <v>2.3E-2</v>
      </c>
      <c r="K65" s="155" t="s">
        <v>2467</v>
      </c>
      <c r="L65" s="155">
        <v>2.3E-2</v>
      </c>
      <c r="N65" s="170" t="s">
        <v>1272</v>
      </c>
      <c r="O65" s="170" t="s">
        <v>2466</v>
      </c>
      <c r="P65" s="170" t="s">
        <v>1847</v>
      </c>
      <c r="Q65" s="170">
        <v>2.3E-2</v>
      </c>
      <c r="R65" s="170" t="s">
        <v>2467</v>
      </c>
      <c r="S65" s="171">
        <v>2.3E-2</v>
      </c>
      <c r="U65" s="170" t="s">
        <v>1299</v>
      </c>
      <c r="V65" s="170" t="s">
        <v>1867</v>
      </c>
      <c r="W65" s="170" t="s">
        <v>1868</v>
      </c>
      <c r="X65" s="170">
        <v>1E-3</v>
      </c>
      <c r="Y65" s="170" t="s">
        <v>1869</v>
      </c>
      <c r="Z65" s="171">
        <v>2.5999999999999999E-2</v>
      </c>
    </row>
    <row r="66" spans="2:26" ht="119.4" thickBot="1" x14ac:dyDescent="0.35">
      <c r="B66" s="180" t="s">
        <v>368</v>
      </c>
      <c r="C66" s="154" t="s">
        <v>1849</v>
      </c>
      <c r="D66" s="154" t="s">
        <v>1850</v>
      </c>
      <c r="E66" s="154">
        <v>5.2999999999999999E-2</v>
      </c>
      <c r="F66" s="154" t="s">
        <v>1851</v>
      </c>
      <c r="G66" s="154">
        <v>1.4E-2</v>
      </c>
      <c r="H66" s="155" t="s">
        <v>2468</v>
      </c>
      <c r="I66" s="155" t="s">
        <v>1850</v>
      </c>
      <c r="J66" s="155">
        <v>4.8000000000000001E-2</v>
      </c>
      <c r="K66" s="155" t="s">
        <v>2469</v>
      </c>
      <c r="L66" s="155">
        <v>2.1000000000000001E-2</v>
      </c>
      <c r="N66" s="170" t="s">
        <v>1276</v>
      </c>
      <c r="O66" s="170" t="s">
        <v>2468</v>
      </c>
      <c r="P66" s="170" t="s">
        <v>1850</v>
      </c>
      <c r="Q66" s="170">
        <v>4.8000000000000001E-2</v>
      </c>
      <c r="R66" s="170" t="s">
        <v>2469</v>
      </c>
      <c r="S66" s="171">
        <v>2.1000000000000001E-2</v>
      </c>
      <c r="U66" s="170" t="s">
        <v>1303</v>
      </c>
      <c r="V66" s="170" t="s">
        <v>1870</v>
      </c>
      <c r="W66" s="170" t="s">
        <v>1871</v>
      </c>
      <c r="X66" s="170">
        <v>8.0000000000000002E-3</v>
      </c>
      <c r="Y66" s="170" t="s">
        <v>1872</v>
      </c>
      <c r="Z66" s="171">
        <v>8.9999999999999993E-3</v>
      </c>
    </row>
    <row r="67" spans="2:26" ht="79.8" thickBot="1" x14ac:dyDescent="0.35">
      <c r="B67" s="180" t="s">
        <v>369</v>
      </c>
      <c r="C67" s="154" t="s">
        <v>1852</v>
      </c>
      <c r="D67" s="154" t="s">
        <v>1853</v>
      </c>
      <c r="E67" s="154">
        <v>0.107</v>
      </c>
      <c r="F67" s="154" t="s">
        <v>1854</v>
      </c>
      <c r="G67" s="154">
        <v>0.01</v>
      </c>
      <c r="H67" s="155" t="s">
        <v>2470</v>
      </c>
      <c r="I67" s="155" t="s">
        <v>1853</v>
      </c>
      <c r="J67" s="155">
        <v>0.1</v>
      </c>
      <c r="K67" s="155" t="s">
        <v>2471</v>
      </c>
      <c r="L67" s="155">
        <v>2.9000000000000001E-2</v>
      </c>
      <c r="N67" s="170" t="s">
        <v>1280</v>
      </c>
      <c r="O67" s="170" t="s">
        <v>2470</v>
      </c>
      <c r="P67" s="170" t="s">
        <v>1853</v>
      </c>
      <c r="Q67" s="170">
        <v>0.1</v>
      </c>
      <c r="R67" s="170" t="s">
        <v>2471</v>
      </c>
      <c r="S67" s="171">
        <v>2.9000000000000001E-2</v>
      </c>
    </row>
    <row r="68" spans="2:26" ht="93" thickBot="1" x14ac:dyDescent="0.35">
      <c r="B68" s="180" t="s">
        <v>370</v>
      </c>
      <c r="C68" s="154" t="s">
        <v>1855</v>
      </c>
      <c r="D68" s="154" t="s">
        <v>1856</v>
      </c>
      <c r="E68" s="154">
        <v>0.14099999999999999</v>
      </c>
      <c r="F68" s="154" t="s">
        <v>1857</v>
      </c>
      <c r="G68" s="154">
        <v>2.1000000000000001E-2</v>
      </c>
      <c r="H68" s="155" t="s">
        <v>2472</v>
      </c>
      <c r="I68" s="155" t="s">
        <v>1856</v>
      </c>
      <c r="J68" s="155">
        <v>0.14099999999999999</v>
      </c>
      <c r="K68" s="155" t="s">
        <v>2473</v>
      </c>
      <c r="L68" s="155">
        <v>5.0999999999999997E-2</v>
      </c>
      <c r="N68" s="170" t="s">
        <v>1284</v>
      </c>
      <c r="O68" s="170" t="s">
        <v>2472</v>
      </c>
      <c r="P68" s="170" t="s">
        <v>1856</v>
      </c>
      <c r="Q68" s="170">
        <v>0.14099999999999999</v>
      </c>
      <c r="R68" s="170" t="s">
        <v>2473</v>
      </c>
      <c r="S68" s="171">
        <v>5.0999999999999997E-2</v>
      </c>
    </row>
    <row r="69" spans="2:26" ht="34.799999999999997" thickBot="1" x14ac:dyDescent="0.35">
      <c r="B69" s="180" t="s">
        <v>371</v>
      </c>
      <c r="C69" s="154"/>
      <c r="D69" s="154"/>
      <c r="E69" s="154"/>
      <c r="F69" s="154"/>
      <c r="G69" s="154"/>
      <c r="H69" s="155"/>
      <c r="I69" s="155"/>
      <c r="J69" s="155"/>
      <c r="K69" s="155"/>
      <c r="L69" s="155"/>
      <c r="N69" s="170"/>
      <c r="O69" s="170"/>
      <c r="P69" s="170"/>
      <c r="Q69" s="170"/>
      <c r="R69" s="170"/>
      <c r="S69" s="171"/>
    </row>
    <row r="70" spans="2:26" ht="93" thickBot="1" x14ac:dyDescent="0.35">
      <c r="B70" s="181" t="s">
        <v>372</v>
      </c>
      <c r="C70" s="154" t="s">
        <v>1858</v>
      </c>
      <c r="D70" s="154" t="s">
        <v>1859</v>
      </c>
      <c r="E70" s="154">
        <v>1.6E-2</v>
      </c>
      <c r="F70" s="154" t="s">
        <v>1860</v>
      </c>
      <c r="G70" s="154">
        <v>7.0000000000000001E-3</v>
      </c>
      <c r="H70" s="155" t="s">
        <v>2474</v>
      </c>
      <c r="I70" s="155" t="s">
        <v>1859</v>
      </c>
      <c r="J70" s="155">
        <v>2.1000000000000001E-2</v>
      </c>
      <c r="K70" s="155" t="s">
        <v>2475</v>
      </c>
      <c r="L70" s="155">
        <v>3.0000000000000001E-3</v>
      </c>
      <c r="N70" s="170" t="s">
        <v>1288</v>
      </c>
      <c r="O70" s="170" t="s">
        <v>2474</v>
      </c>
      <c r="P70" s="170" t="s">
        <v>1859</v>
      </c>
      <c r="Q70" s="170">
        <v>2.1000000000000001E-2</v>
      </c>
      <c r="R70" s="170" t="s">
        <v>2475</v>
      </c>
      <c r="S70" s="171">
        <v>3.0000000000000001E-3</v>
      </c>
    </row>
    <row r="71" spans="2:26" ht="93" thickBot="1" x14ac:dyDescent="0.35">
      <c r="B71" s="181" t="s">
        <v>373</v>
      </c>
      <c r="C71" s="154" t="s">
        <v>1861</v>
      </c>
      <c r="D71" s="154" t="s">
        <v>1862</v>
      </c>
      <c r="E71" s="154">
        <v>3.1E-2</v>
      </c>
      <c r="F71" s="154" t="s">
        <v>1863</v>
      </c>
      <c r="G71" s="154">
        <v>2.1999999999999999E-2</v>
      </c>
      <c r="H71" s="155" t="s">
        <v>2476</v>
      </c>
      <c r="I71" s="155" t="s">
        <v>1862</v>
      </c>
      <c r="J71" s="155">
        <v>2.7E-2</v>
      </c>
      <c r="K71" s="155" t="s">
        <v>2477</v>
      </c>
      <c r="L71" s="155">
        <v>1.4E-2</v>
      </c>
      <c r="N71" s="170" t="s">
        <v>1292</v>
      </c>
      <c r="O71" s="170" t="s">
        <v>2476</v>
      </c>
      <c r="P71" s="170" t="s">
        <v>1862</v>
      </c>
      <c r="Q71" s="170">
        <v>2.7E-2</v>
      </c>
      <c r="R71" s="170" t="s">
        <v>2477</v>
      </c>
      <c r="S71" s="171">
        <v>1.4E-2</v>
      </c>
    </row>
    <row r="72" spans="2:26" ht="119.4" thickBot="1" x14ac:dyDescent="0.35">
      <c r="B72" s="181" t="s">
        <v>374</v>
      </c>
      <c r="C72" s="154" t="s">
        <v>1864</v>
      </c>
      <c r="D72" s="154" t="s">
        <v>1865</v>
      </c>
      <c r="E72" s="154">
        <v>1.0999999999999999E-2</v>
      </c>
      <c r="F72" s="154" t="s">
        <v>1866</v>
      </c>
      <c r="G72" s="154">
        <v>8.0000000000000002E-3</v>
      </c>
      <c r="H72" s="155" t="s">
        <v>2478</v>
      </c>
      <c r="I72" s="155" t="s">
        <v>1865</v>
      </c>
      <c r="J72" s="155">
        <v>7.0000000000000001E-3</v>
      </c>
      <c r="K72" s="155" t="s">
        <v>2479</v>
      </c>
      <c r="L72" s="155">
        <v>8.0000000000000002E-3</v>
      </c>
      <c r="N72" s="170" t="s">
        <v>1295</v>
      </c>
      <c r="O72" s="170" t="s">
        <v>2478</v>
      </c>
      <c r="P72" s="170" t="s">
        <v>1865</v>
      </c>
      <c r="Q72" s="170">
        <v>7.0000000000000001E-3</v>
      </c>
      <c r="R72" s="170" t="s">
        <v>2479</v>
      </c>
      <c r="S72" s="171">
        <v>8.0000000000000002E-3</v>
      </c>
    </row>
    <row r="73" spans="2:26" ht="106.2" thickBot="1" x14ac:dyDescent="0.35">
      <c r="B73" s="181" t="s">
        <v>1512</v>
      </c>
      <c r="C73" s="154" t="s">
        <v>1867</v>
      </c>
      <c r="D73" s="154" t="s">
        <v>1868</v>
      </c>
      <c r="E73" s="154">
        <v>1E-3</v>
      </c>
      <c r="F73" s="154" t="s">
        <v>1869</v>
      </c>
      <c r="G73" s="154">
        <v>2.5999999999999999E-2</v>
      </c>
      <c r="H73" s="155" t="s">
        <v>2480</v>
      </c>
      <c r="I73" s="155" t="s">
        <v>1868</v>
      </c>
      <c r="J73" s="155">
        <v>0</v>
      </c>
      <c r="K73" s="155" t="s">
        <v>2481</v>
      </c>
      <c r="L73" s="155">
        <v>1.6E-2</v>
      </c>
      <c r="N73" s="170" t="s">
        <v>1299</v>
      </c>
      <c r="O73" s="170" t="s">
        <v>2480</v>
      </c>
      <c r="P73" s="170" t="s">
        <v>1868</v>
      </c>
      <c r="Q73" s="170">
        <v>0</v>
      </c>
      <c r="R73" s="170" t="s">
        <v>2481</v>
      </c>
      <c r="S73" s="171">
        <v>1.6E-2</v>
      </c>
    </row>
    <row r="74" spans="2:26" ht="119.4" thickBot="1" x14ac:dyDescent="0.35">
      <c r="B74" s="181" t="s">
        <v>376</v>
      </c>
      <c r="C74" s="154" t="s">
        <v>1870</v>
      </c>
      <c r="D74" s="154" t="s">
        <v>1871</v>
      </c>
      <c r="E74" s="154">
        <v>8.0000000000000002E-3</v>
      </c>
      <c r="F74" s="154" t="s">
        <v>1872</v>
      </c>
      <c r="G74" s="154">
        <v>8.9999999999999993E-3</v>
      </c>
      <c r="H74" s="155" t="s">
        <v>2482</v>
      </c>
      <c r="I74" s="155" t="s">
        <v>1871</v>
      </c>
      <c r="J74" s="155">
        <v>1.0999999999999999E-2</v>
      </c>
      <c r="K74" s="155" t="s">
        <v>1488</v>
      </c>
      <c r="L74" s="155">
        <v>4.0000000000000001E-3</v>
      </c>
      <c r="N74" s="170" t="s">
        <v>1303</v>
      </c>
      <c r="O74" s="170" t="s">
        <v>2482</v>
      </c>
      <c r="P74" s="170" t="s">
        <v>1871</v>
      </c>
      <c r="Q74" s="170">
        <v>1.0999999999999999E-2</v>
      </c>
      <c r="R74" s="170" t="s">
        <v>1488</v>
      </c>
      <c r="S74" s="171">
        <v>4.0000000000000001E-3</v>
      </c>
    </row>
    <row r="75" spans="2:26" ht="27" thickBot="1" x14ac:dyDescent="0.35">
      <c r="N75" s="170" t="s">
        <v>2049</v>
      </c>
      <c r="O75" s="170" t="s">
        <v>855</v>
      </c>
      <c r="P75" s="170" t="s">
        <v>855</v>
      </c>
      <c r="Q75" s="170">
        <v>0.01</v>
      </c>
      <c r="R75" s="170" t="s">
        <v>855</v>
      </c>
      <c r="S75" s="171">
        <v>0.01</v>
      </c>
    </row>
    <row r="76" spans="2:26" ht="93" thickBot="1" x14ac:dyDescent="0.35">
      <c r="N76" s="170" t="s">
        <v>2051</v>
      </c>
      <c r="O76" s="170" t="s">
        <v>855</v>
      </c>
      <c r="P76" s="170" t="s">
        <v>855</v>
      </c>
      <c r="Q76" s="170">
        <v>7.0000000000000001E-3</v>
      </c>
      <c r="R76" s="170" t="s">
        <v>855</v>
      </c>
      <c r="S76" s="171">
        <v>7.0000000000000001E-3</v>
      </c>
    </row>
    <row r="77" spans="2:26" ht="93" thickBot="1" x14ac:dyDescent="0.35">
      <c r="N77" s="170" t="s">
        <v>2053</v>
      </c>
      <c r="O77" s="170" t="s">
        <v>855</v>
      </c>
      <c r="P77" s="170" t="s">
        <v>855</v>
      </c>
      <c r="Q77" s="170">
        <v>7.0000000000000001E-3</v>
      </c>
      <c r="R77" s="170" t="s">
        <v>855</v>
      </c>
      <c r="S77" s="171">
        <v>7.0000000000000001E-3</v>
      </c>
    </row>
  </sheetData>
  <mergeCells count="13">
    <mergeCell ref="U3:U4"/>
    <mergeCell ref="X3:X4"/>
    <mergeCell ref="Z3:Z4"/>
    <mergeCell ref="N3:N4"/>
    <mergeCell ref="Q3:Q4"/>
    <mergeCell ref="S3:S4"/>
    <mergeCell ref="C2:G2"/>
    <mergeCell ref="H2:L2"/>
    <mergeCell ref="B3:B4"/>
    <mergeCell ref="E3:E4"/>
    <mergeCell ref="G3:G4"/>
    <mergeCell ref="J3:J4"/>
    <mergeCell ref="L3:L4"/>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9FBA8-A102-4E25-9139-35B465DE7BBD}">
  <dimension ref="A1"/>
  <sheetViews>
    <sheetView workbookViewId="0">
      <selection activeCell="R9" sqref="R9"/>
    </sheetView>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B569A-50B6-46A1-8211-A21412076325}">
  <dimension ref="A1:H19"/>
  <sheetViews>
    <sheetView workbookViewId="0">
      <selection activeCell="F17" sqref="F17:G28"/>
    </sheetView>
  </sheetViews>
  <sheetFormatPr defaultRowHeight="14.4" x14ac:dyDescent="0.3"/>
  <cols>
    <col min="2" max="2" width="13.6640625" bestFit="1" customWidth="1"/>
    <col min="3" max="3" width="12" customWidth="1"/>
    <col min="5" max="5" width="23.44140625" customWidth="1"/>
    <col min="6" max="6" width="17.6640625" customWidth="1"/>
    <col min="7" max="7" width="78.5546875" customWidth="1"/>
  </cols>
  <sheetData>
    <row r="1" spans="1:8" x14ac:dyDescent="0.3">
      <c r="A1" t="s">
        <v>41</v>
      </c>
      <c r="B1" t="s">
        <v>33</v>
      </c>
      <c r="C1" t="s">
        <v>34</v>
      </c>
      <c r="D1" t="s">
        <v>30</v>
      </c>
      <c r="E1" t="s">
        <v>31</v>
      </c>
      <c r="F1" t="s">
        <v>35</v>
      </c>
      <c r="G1" t="s">
        <v>32</v>
      </c>
    </row>
    <row r="2" spans="1:8" ht="15.6" x14ac:dyDescent="0.3">
      <c r="E2" t="s">
        <v>37</v>
      </c>
      <c r="F2" t="s">
        <v>36</v>
      </c>
      <c r="G2" t="s">
        <v>42</v>
      </c>
      <c r="H2" s="8" t="s">
        <v>38</v>
      </c>
    </row>
    <row r="3" spans="1:8" x14ac:dyDescent="0.3">
      <c r="F3" t="s">
        <v>36</v>
      </c>
      <c r="G3" t="s">
        <v>43</v>
      </c>
      <c r="H3" s="9" t="s">
        <v>39</v>
      </c>
    </row>
    <row r="4" spans="1:8" x14ac:dyDescent="0.3">
      <c r="E4" t="s">
        <v>64</v>
      </c>
      <c r="F4" t="s">
        <v>40</v>
      </c>
      <c r="G4" t="s">
        <v>44</v>
      </c>
      <c r="H4" s="10" t="s">
        <v>45</v>
      </c>
    </row>
    <row r="5" spans="1:8" x14ac:dyDescent="0.3">
      <c r="G5" t="s">
        <v>46</v>
      </c>
      <c r="H5" s="12" t="s">
        <v>49</v>
      </c>
    </row>
    <row r="6" spans="1:8" x14ac:dyDescent="0.3">
      <c r="G6" t="s">
        <v>47</v>
      </c>
      <c r="H6" t="s">
        <v>48</v>
      </c>
    </row>
    <row r="7" spans="1:8" ht="15.6" x14ac:dyDescent="0.3">
      <c r="G7" t="s">
        <v>50</v>
      </c>
      <c r="H7" s="13" t="s">
        <v>51</v>
      </c>
    </row>
    <row r="8" spans="1:8" x14ac:dyDescent="0.3">
      <c r="E8" t="s">
        <v>54</v>
      </c>
      <c r="G8" t="s">
        <v>52</v>
      </c>
      <c r="H8" t="s">
        <v>53</v>
      </c>
    </row>
    <row r="9" spans="1:8" x14ac:dyDescent="0.3">
      <c r="G9" t="s">
        <v>55</v>
      </c>
      <c r="H9" s="14" t="s">
        <v>56</v>
      </c>
    </row>
    <row r="10" spans="1:8" x14ac:dyDescent="0.3">
      <c r="G10" t="s">
        <v>57</v>
      </c>
      <c r="H10" s="14" t="s">
        <v>58</v>
      </c>
    </row>
    <row r="11" spans="1:8" x14ac:dyDescent="0.3">
      <c r="G11" t="s">
        <v>59</v>
      </c>
      <c r="H11" s="12" t="s">
        <v>60</v>
      </c>
    </row>
    <row r="12" spans="1:8" x14ac:dyDescent="0.3">
      <c r="G12" t="s">
        <v>62</v>
      </c>
      <c r="H12" s="12" t="s">
        <v>61</v>
      </c>
    </row>
    <row r="13" spans="1:8" x14ac:dyDescent="0.3">
      <c r="E13" t="s">
        <v>66</v>
      </c>
      <c r="F13" t="s">
        <v>65</v>
      </c>
      <c r="G13" s="12" t="s">
        <v>63</v>
      </c>
      <c r="H13" t="s">
        <v>69</v>
      </c>
    </row>
    <row r="14" spans="1:8" x14ac:dyDescent="0.3">
      <c r="E14" t="s">
        <v>70</v>
      </c>
      <c r="G14" t="s">
        <v>67</v>
      </c>
      <c r="H14" s="11" t="s">
        <v>68</v>
      </c>
    </row>
    <row r="15" spans="1:8" ht="16.2" x14ac:dyDescent="0.3">
      <c r="E15" t="s">
        <v>71</v>
      </c>
      <c r="G15" t="s">
        <v>73</v>
      </c>
      <c r="H15" s="16" t="s">
        <v>72</v>
      </c>
    </row>
    <row r="16" spans="1:8" x14ac:dyDescent="0.3">
      <c r="H16" s="16"/>
    </row>
    <row r="17" spans="8:8" x14ac:dyDescent="0.3">
      <c r="H17" s="16"/>
    </row>
    <row r="18" spans="8:8" x14ac:dyDescent="0.3">
      <c r="H18" s="16"/>
    </row>
    <row r="19" spans="8:8" x14ac:dyDescent="0.3">
      <c r="H19"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9BDE3-EB7E-4849-8C46-78F847DDF7FB}">
  <dimension ref="B1:AC76"/>
  <sheetViews>
    <sheetView workbookViewId="0">
      <selection activeCell="N1" sqref="M1:N1"/>
    </sheetView>
  </sheetViews>
  <sheetFormatPr defaultRowHeight="14.4" x14ac:dyDescent="0.3"/>
  <sheetData>
    <row r="1" spans="2:29" x14ac:dyDescent="0.3">
      <c r="M1" s="303">
        <v>45280</v>
      </c>
      <c r="N1" s="303">
        <v>33984</v>
      </c>
    </row>
    <row r="2" spans="2:29" ht="15" thickBot="1" x14ac:dyDescent="0.35">
      <c r="K2" s="302"/>
      <c r="L2" s="302"/>
    </row>
    <row r="3" spans="2:29" ht="15.75" customHeight="1" thickBot="1" x14ac:dyDescent="0.35">
      <c r="B3" s="156"/>
      <c r="C3" s="277" t="s">
        <v>377</v>
      </c>
      <c r="D3" s="278"/>
      <c r="E3" s="278"/>
      <c r="F3" s="279"/>
      <c r="G3" s="280" t="s">
        <v>378</v>
      </c>
      <c r="H3" s="278"/>
      <c r="I3" s="278"/>
      <c r="J3" s="279"/>
      <c r="K3" s="280" t="s">
        <v>295</v>
      </c>
      <c r="L3" s="278"/>
      <c r="M3" s="278"/>
      <c r="N3" s="278"/>
      <c r="O3" s="279"/>
    </row>
    <row r="4" spans="2:29" ht="15" thickBot="1" x14ac:dyDescent="0.35">
      <c r="B4" s="157"/>
      <c r="C4" s="283" t="s">
        <v>323</v>
      </c>
      <c r="D4" s="284"/>
      <c r="E4" s="280" t="s">
        <v>324</v>
      </c>
      <c r="F4" s="279"/>
      <c r="G4" s="285" t="s">
        <v>323</v>
      </c>
      <c r="H4" s="284"/>
      <c r="I4" s="280" t="s">
        <v>324</v>
      </c>
      <c r="J4" s="279"/>
      <c r="K4" s="285" t="s">
        <v>323</v>
      </c>
      <c r="L4" s="284"/>
      <c r="M4" s="280" t="s">
        <v>324</v>
      </c>
      <c r="N4" s="278"/>
      <c r="O4" s="279"/>
    </row>
    <row r="5" spans="2:29" ht="26.4" x14ac:dyDescent="0.3">
      <c r="B5" s="157" t="s">
        <v>322</v>
      </c>
      <c r="C5" s="149" t="s">
        <v>325</v>
      </c>
      <c r="D5" s="149" t="s">
        <v>326</v>
      </c>
      <c r="E5" s="151" t="s">
        <v>325</v>
      </c>
      <c r="F5" s="151" t="s">
        <v>326</v>
      </c>
      <c r="G5" s="149" t="s">
        <v>325</v>
      </c>
      <c r="H5" s="149" t="s">
        <v>384</v>
      </c>
      <c r="I5" s="151" t="s">
        <v>325</v>
      </c>
      <c r="J5" s="151" t="s">
        <v>384</v>
      </c>
      <c r="K5" s="149" t="s">
        <v>325</v>
      </c>
      <c r="L5" s="149" t="s">
        <v>357</v>
      </c>
      <c r="M5" s="151" t="s">
        <v>325</v>
      </c>
      <c r="N5" s="151" t="s">
        <v>357</v>
      </c>
      <c r="O5" s="300"/>
      <c r="Q5" s="296" t="s">
        <v>322</v>
      </c>
      <c r="R5" s="168" t="s">
        <v>1078</v>
      </c>
      <c r="S5" s="168" t="s">
        <v>326</v>
      </c>
      <c r="T5" s="296" t="s">
        <v>1081</v>
      </c>
      <c r="U5" s="168" t="s">
        <v>326</v>
      </c>
      <c r="V5" s="296" t="s">
        <v>1083</v>
      </c>
      <c r="X5" s="296" t="s">
        <v>322</v>
      </c>
      <c r="Y5" s="168" t="s">
        <v>1078</v>
      </c>
      <c r="Z5" s="168" t="s">
        <v>326</v>
      </c>
      <c r="AA5" s="296" t="s">
        <v>1081</v>
      </c>
      <c r="AB5" s="168" t="s">
        <v>326</v>
      </c>
      <c r="AC5" s="296" t="s">
        <v>1083</v>
      </c>
    </row>
    <row r="6" spans="2:29" ht="28.2" thickBot="1" x14ac:dyDescent="0.35">
      <c r="B6" s="158"/>
      <c r="C6" s="150" t="s">
        <v>379</v>
      </c>
      <c r="D6" s="150" t="s">
        <v>380</v>
      </c>
      <c r="E6" s="152" t="s">
        <v>381</v>
      </c>
      <c r="F6" s="152" t="s">
        <v>382</v>
      </c>
      <c r="G6" s="150" t="s">
        <v>383</v>
      </c>
      <c r="H6" s="150" t="s">
        <v>385</v>
      </c>
      <c r="I6" s="152" t="s">
        <v>386</v>
      </c>
      <c r="J6" s="152" t="s">
        <v>387</v>
      </c>
      <c r="K6" s="150" t="s">
        <v>388</v>
      </c>
      <c r="L6" s="150" t="s">
        <v>389</v>
      </c>
      <c r="M6" s="152" t="s">
        <v>390</v>
      </c>
      <c r="N6" s="152" t="s">
        <v>391</v>
      </c>
      <c r="O6" s="301"/>
      <c r="Q6" s="297"/>
      <c r="R6" s="169" t="s">
        <v>379</v>
      </c>
      <c r="S6" s="169" t="s">
        <v>380</v>
      </c>
      <c r="T6" s="297"/>
      <c r="U6" s="169" t="s">
        <v>1308</v>
      </c>
      <c r="V6" s="297"/>
      <c r="X6" s="297"/>
      <c r="Y6" s="169" t="s">
        <v>381</v>
      </c>
      <c r="Z6" s="169" t="s">
        <v>382</v>
      </c>
      <c r="AA6" s="297"/>
      <c r="AB6" s="169" t="s">
        <v>1873</v>
      </c>
      <c r="AC6" s="297"/>
    </row>
    <row r="7" spans="2:29" ht="93" thickBot="1" x14ac:dyDescent="0.35">
      <c r="B7" s="160" t="s">
        <v>330</v>
      </c>
      <c r="C7" s="154" t="s">
        <v>392</v>
      </c>
      <c r="D7" s="154" t="s">
        <v>393</v>
      </c>
      <c r="E7" s="155" t="s">
        <v>394</v>
      </c>
      <c r="F7" s="155" t="s">
        <v>393</v>
      </c>
      <c r="G7" s="154" t="s">
        <v>395</v>
      </c>
      <c r="H7" s="154" t="s">
        <v>396</v>
      </c>
      <c r="I7" s="155" t="s">
        <v>397</v>
      </c>
      <c r="J7" s="155" t="s">
        <v>398</v>
      </c>
      <c r="K7" s="154" t="s">
        <v>399</v>
      </c>
      <c r="L7" s="154" t="s">
        <v>400</v>
      </c>
      <c r="M7" s="155" t="s">
        <v>401</v>
      </c>
      <c r="N7" s="155" t="s">
        <v>402</v>
      </c>
      <c r="O7" s="159"/>
      <c r="Q7" s="170" t="s">
        <v>1084</v>
      </c>
      <c r="R7" s="170" t="s">
        <v>1309</v>
      </c>
      <c r="S7" s="170" t="s">
        <v>1310</v>
      </c>
      <c r="T7" s="170">
        <v>3.6999999999999998E-2</v>
      </c>
      <c r="U7" s="170" t="s">
        <v>1311</v>
      </c>
      <c r="V7" s="171">
        <v>2.5999999999999999E-2</v>
      </c>
      <c r="X7" s="170" t="s">
        <v>1084</v>
      </c>
      <c r="Y7" s="170" t="s">
        <v>1874</v>
      </c>
      <c r="Z7" s="170" t="s">
        <v>1310</v>
      </c>
      <c r="AA7" s="170">
        <v>4.8000000000000001E-2</v>
      </c>
      <c r="AB7" s="170" t="s">
        <v>1875</v>
      </c>
      <c r="AC7" s="171">
        <v>2.5999999999999999E-2</v>
      </c>
    </row>
    <row r="8" spans="2:29" ht="53.4" thickBot="1" x14ac:dyDescent="0.35">
      <c r="B8" s="161" t="s">
        <v>331</v>
      </c>
      <c r="C8" s="154" t="s">
        <v>403</v>
      </c>
      <c r="D8" s="154" t="s">
        <v>404</v>
      </c>
      <c r="E8" s="155" t="s">
        <v>405</v>
      </c>
      <c r="F8" s="155" t="s">
        <v>406</v>
      </c>
      <c r="G8" s="154" t="s">
        <v>407</v>
      </c>
      <c r="H8" s="154" t="s">
        <v>408</v>
      </c>
      <c r="I8" s="155" t="s">
        <v>409</v>
      </c>
      <c r="J8" s="155" t="s">
        <v>410</v>
      </c>
      <c r="K8" s="154" t="s">
        <v>411</v>
      </c>
      <c r="L8" s="154" t="s">
        <v>412</v>
      </c>
      <c r="M8" s="155" t="s">
        <v>413</v>
      </c>
      <c r="N8" s="155" t="s">
        <v>414</v>
      </c>
      <c r="O8" s="159"/>
      <c r="Q8" s="170" t="s">
        <v>1088</v>
      </c>
      <c r="R8" s="170" t="s">
        <v>1312</v>
      </c>
      <c r="S8" s="170" t="s">
        <v>1313</v>
      </c>
      <c r="T8" s="170">
        <v>1.2999999999999999E-2</v>
      </c>
      <c r="U8" s="170" t="s">
        <v>1314</v>
      </c>
      <c r="V8" s="171">
        <v>8.0000000000000002E-3</v>
      </c>
      <c r="X8" s="170" t="s">
        <v>1088</v>
      </c>
      <c r="Y8" s="170" t="s">
        <v>1876</v>
      </c>
      <c r="Z8" s="170" t="s">
        <v>1877</v>
      </c>
      <c r="AA8" s="170">
        <v>1.2999999999999999E-2</v>
      </c>
      <c r="AB8" s="170" t="s">
        <v>1878</v>
      </c>
      <c r="AC8" s="171">
        <v>1.2E-2</v>
      </c>
    </row>
    <row r="9" spans="2:29" ht="27" thickBot="1" x14ac:dyDescent="0.35">
      <c r="B9" s="161" t="s">
        <v>332</v>
      </c>
      <c r="C9" s="162"/>
      <c r="D9" s="162"/>
      <c r="E9" s="163"/>
      <c r="F9" s="163"/>
      <c r="G9" s="162"/>
      <c r="H9" s="162"/>
      <c r="I9" s="163"/>
      <c r="J9" s="163"/>
      <c r="K9" s="162"/>
      <c r="L9" s="162"/>
      <c r="M9" s="163"/>
      <c r="N9" s="163"/>
      <c r="O9" s="159"/>
      <c r="Q9" s="172" t="s">
        <v>1092</v>
      </c>
      <c r="R9" s="170"/>
      <c r="S9" s="170"/>
      <c r="T9" s="170"/>
      <c r="U9" s="170"/>
      <c r="V9" s="171"/>
      <c r="X9" s="172" t="s">
        <v>1092</v>
      </c>
      <c r="Y9" s="170"/>
      <c r="Z9" s="170"/>
      <c r="AA9" s="170"/>
      <c r="AB9" s="170"/>
      <c r="AC9" s="171"/>
    </row>
    <row r="10" spans="2:29" ht="27" thickBot="1" x14ac:dyDescent="0.35">
      <c r="B10" s="161">
        <v>2007</v>
      </c>
      <c r="C10" s="154" t="s">
        <v>415</v>
      </c>
      <c r="D10" s="154" t="s">
        <v>416</v>
      </c>
      <c r="E10" s="155" t="s">
        <v>417</v>
      </c>
      <c r="F10" s="155" t="s">
        <v>418</v>
      </c>
      <c r="G10" s="154" t="s">
        <v>419</v>
      </c>
      <c r="H10" s="154" t="s">
        <v>419</v>
      </c>
      <c r="I10" s="164" t="s">
        <v>419</v>
      </c>
      <c r="J10" s="164" t="s">
        <v>419</v>
      </c>
      <c r="K10" s="154" t="s">
        <v>419</v>
      </c>
      <c r="L10" s="154" t="s">
        <v>419</v>
      </c>
      <c r="M10" s="164" t="s">
        <v>419</v>
      </c>
      <c r="N10" s="164" t="s">
        <v>419</v>
      </c>
      <c r="O10" s="159"/>
      <c r="Q10" s="170">
        <v>2007</v>
      </c>
      <c r="R10" s="170" t="s">
        <v>1315</v>
      </c>
      <c r="S10" s="170" t="s">
        <v>1316</v>
      </c>
      <c r="T10" s="170">
        <v>0.124</v>
      </c>
      <c r="U10" s="170" t="s">
        <v>1317</v>
      </c>
      <c r="V10" s="171">
        <v>1E-3</v>
      </c>
      <c r="X10" s="170">
        <v>2007</v>
      </c>
      <c r="Y10" s="170" t="s">
        <v>1872</v>
      </c>
      <c r="Z10" s="170" t="s">
        <v>1879</v>
      </c>
      <c r="AA10" s="170">
        <v>5.7000000000000002E-2</v>
      </c>
      <c r="AB10" s="170" t="s">
        <v>1304</v>
      </c>
      <c r="AC10" s="171">
        <v>1E-3</v>
      </c>
    </row>
    <row r="11" spans="2:29" ht="27" thickBot="1" x14ac:dyDescent="0.35">
      <c r="B11" s="161">
        <v>2008</v>
      </c>
      <c r="C11" s="154" t="s">
        <v>420</v>
      </c>
      <c r="D11" s="154" t="s">
        <v>421</v>
      </c>
      <c r="E11" s="155" t="s">
        <v>422</v>
      </c>
      <c r="F11" s="155" t="s">
        <v>423</v>
      </c>
      <c r="G11" s="154" t="s">
        <v>424</v>
      </c>
      <c r="H11" s="154" t="s">
        <v>425</v>
      </c>
      <c r="I11" s="155" t="s">
        <v>426</v>
      </c>
      <c r="J11" s="155" t="s">
        <v>427</v>
      </c>
      <c r="K11" s="154" t="s">
        <v>419</v>
      </c>
      <c r="L11" s="154" t="s">
        <v>419</v>
      </c>
      <c r="M11" s="164" t="s">
        <v>419</v>
      </c>
      <c r="N11" s="164" t="s">
        <v>419</v>
      </c>
      <c r="O11" s="159"/>
      <c r="Q11" s="170">
        <v>2008</v>
      </c>
      <c r="R11" s="170" t="s">
        <v>1318</v>
      </c>
      <c r="S11" s="170" t="s">
        <v>1319</v>
      </c>
      <c r="T11" s="170">
        <v>0.35199999999999998</v>
      </c>
      <c r="U11" s="170" t="s">
        <v>1320</v>
      </c>
      <c r="V11" s="171">
        <v>2E-3</v>
      </c>
      <c r="X11" s="170">
        <v>2008</v>
      </c>
      <c r="Y11" s="170" t="s">
        <v>1880</v>
      </c>
      <c r="Z11" s="170" t="s">
        <v>1881</v>
      </c>
      <c r="AA11" s="170">
        <v>0.36799999999999999</v>
      </c>
      <c r="AB11" s="170" t="s">
        <v>1882</v>
      </c>
      <c r="AC11" s="171">
        <v>3.0000000000000001E-3</v>
      </c>
    </row>
    <row r="12" spans="2:29" ht="27" thickBot="1" x14ac:dyDescent="0.35">
      <c r="B12" s="161">
        <v>2009</v>
      </c>
      <c r="C12" s="154" t="s">
        <v>428</v>
      </c>
      <c r="D12" s="154" t="s">
        <v>429</v>
      </c>
      <c r="E12" s="155" t="s">
        <v>430</v>
      </c>
      <c r="F12" s="155" t="s">
        <v>431</v>
      </c>
      <c r="G12" s="154" t="s">
        <v>432</v>
      </c>
      <c r="H12" s="154" t="s">
        <v>433</v>
      </c>
      <c r="I12" s="155" t="s">
        <v>434</v>
      </c>
      <c r="J12" s="155" t="s">
        <v>435</v>
      </c>
      <c r="K12" s="154" t="s">
        <v>419</v>
      </c>
      <c r="L12" s="154" t="s">
        <v>419</v>
      </c>
      <c r="M12" s="164" t="s">
        <v>419</v>
      </c>
      <c r="N12" s="164" t="s">
        <v>419</v>
      </c>
      <c r="O12" s="159"/>
      <c r="Q12" s="170">
        <v>2009</v>
      </c>
      <c r="R12" s="170" t="s">
        <v>1321</v>
      </c>
      <c r="S12" s="170" t="s">
        <v>1322</v>
      </c>
      <c r="T12" s="170">
        <v>0.28999999999999998</v>
      </c>
      <c r="U12" s="170" t="s">
        <v>1323</v>
      </c>
      <c r="V12" s="171">
        <v>1E-3</v>
      </c>
      <c r="X12" s="170">
        <v>2009</v>
      </c>
      <c r="Y12" s="170" t="s">
        <v>1883</v>
      </c>
      <c r="Z12" s="170" t="s">
        <v>1884</v>
      </c>
      <c r="AA12" s="170">
        <v>0.28199999999999997</v>
      </c>
      <c r="AB12" s="170" t="s">
        <v>1885</v>
      </c>
      <c r="AC12" s="171">
        <v>1E-3</v>
      </c>
    </row>
    <row r="13" spans="2:29" ht="27" thickBot="1" x14ac:dyDescent="0.35">
      <c r="B13" s="161">
        <v>2010</v>
      </c>
      <c r="C13" s="154" t="s">
        <v>436</v>
      </c>
      <c r="D13" s="154" t="s">
        <v>437</v>
      </c>
      <c r="E13" s="155" t="s">
        <v>438</v>
      </c>
      <c r="F13" s="155" t="s">
        <v>439</v>
      </c>
      <c r="G13" s="154" t="s">
        <v>440</v>
      </c>
      <c r="H13" s="154" t="s">
        <v>441</v>
      </c>
      <c r="I13" s="155" t="s">
        <v>442</v>
      </c>
      <c r="J13" s="155" t="s">
        <v>443</v>
      </c>
      <c r="K13" s="154" t="s">
        <v>419</v>
      </c>
      <c r="L13" s="154" t="s">
        <v>419</v>
      </c>
      <c r="M13" s="164" t="s">
        <v>419</v>
      </c>
      <c r="N13" s="164" t="s">
        <v>419</v>
      </c>
      <c r="O13" s="159"/>
      <c r="Q13" s="170">
        <v>2010</v>
      </c>
      <c r="R13" s="170" t="s">
        <v>1324</v>
      </c>
      <c r="S13" s="170" t="s">
        <v>1325</v>
      </c>
      <c r="T13" s="170">
        <v>0.122</v>
      </c>
      <c r="U13" s="170" t="s">
        <v>1326</v>
      </c>
      <c r="V13" s="171">
        <v>1E-3</v>
      </c>
      <c r="X13" s="170">
        <v>2010</v>
      </c>
      <c r="Y13" s="170" t="s">
        <v>1886</v>
      </c>
      <c r="Z13" s="170" t="s">
        <v>1887</v>
      </c>
      <c r="AA13" s="170">
        <v>0.11</v>
      </c>
      <c r="AB13" s="170" t="s">
        <v>1888</v>
      </c>
      <c r="AC13" s="171">
        <v>0</v>
      </c>
    </row>
    <row r="14" spans="2:29" ht="27" thickBot="1" x14ac:dyDescent="0.35">
      <c r="B14" s="161">
        <v>2011</v>
      </c>
      <c r="C14" s="154" t="s">
        <v>444</v>
      </c>
      <c r="D14" s="154" t="s">
        <v>445</v>
      </c>
      <c r="E14" s="155" t="s">
        <v>446</v>
      </c>
      <c r="F14" s="155" t="s">
        <v>447</v>
      </c>
      <c r="G14" s="154" t="s">
        <v>448</v>
      </c>
      <c r="H14" s="154" t="s">
        <v>449</v>
      </c>
      <c r="I14" s="155" t="s">
        <v>450</v>
      </c>
      <c r="J14" s="155" t="s">
        <v>451</v>
      </c>
      <c r="K14" s="154" t="s">
        <v>419</v>
      </c>
      <c r="L14" s="154" t="s">
        <v>419</v>
      </c>
      <c r="M14" s="164" t="s">
        <v>419</v>
      </c>
      <c r="N14" s="164" t="s">
        <v>419</v>
      </c>
      <c r="O14" s="159"/>
      <c r="Q14" s="170">
        <v>2011</v>
      </c>
      <c r="R14" s="170" t="s">
        <v>1327</v>
      </c>
      <c r="S14" s="170" t="s">
        <v>1328</v>
      </c>
      <c r="T14" s="170">
        <v>0.11600000000000001</v>
      </c>
      <c r="U14" s="170" t="s">
        <v>1329</v>
      </c>
      <c r="V14" s="171">
        <v>3.0000000000000001E-3</v>
      </c>
      <c r="X14" s="170">
        <v>2011</v>
      </c>
      <c r="Y14" s="170" t="s">
        <v>1889</v>
      </c>
      <c r="Z14" s="170" t="s">
        <v>1890</v>
      </c>
      <c r="AA14" s="170">
        <v>8.7999999999999995E-2</v>
      </c>
      <c r="AB14" s="170" t="s">
        <v>1891</v>
      </c>
      <c r="AC14" s="171">
        <v>2E-3</v>
      </c>
    </row>
    <row r="15" spans="2:29" ht="27" thickBot="1" x14ac:dyDescent="0.35">
      <c r="B15" s="161">
        <v>2012</v>
      </c>
      <c r="C15" s="154" t="s">
        <v>452</v>
      </c>
      <c r="D15" s="154" t="s">
        <v>453</v>
      </c>
      <c r="E15" s="155" t="s">
        <v>454</v>
      </c>
      <c r="F15" s="155" t="s">
        <v>455</v>
      </c>
      <c r="G15" s="154" t="s">
        <v>456</v>
      </c>
      <c r="H15" s="154" t="s">
        <v>457</v>
      </c>
      <c r="I15" s="155" t="s">
        <v>458</v>
      </c>
      <c r="J15" s="155" t="s">
        <v>459</v>
      </c>
      <c r="K15" s="154" t="s">
        <v>419</v>
      </c>
      <c r="L15" s="154" t="s">
        <v>419</v>
      </c>
      <c r="M15" s="164" t="s">
        <v>419</v>
      </c>
      <c r="N15" s="164" t="s">
        <v>419</v>
      </c>
      <c r="O15" s="159"/>
      <c r="Q15" s="170">
        <v>2012</v>
      </c>
      <c r="R15" s="170" t="s">
        <v>1330</v>
      </c>
      <c r="S15" s="170" t="s">
        <v>1331</v>
      </c>
      <c r="T15" s="170">
        <v>3.5000000000000003E-2</v>
      </c>
      <c r="U15" s="170" t="s">
        <v>1332</v>
      </c>
      <c r="V15" s="171">
        <v>6.0000000000000001E-3</v>
      </c>
      <c r="X15" s="170">
        <v>2012</v>
      </c>
      <c r="Y15" s="170" t="s">
        <v>1892</v>
      </c>
      <c r="Z15" s="170" t="s">
        <v>1893</v>
      </c>
      <c r="AA15" s="170">
        <v>2E-3</v>
      </c>
      <c r="AB15" s="170" t="s">
        <v>1894</v>
      </c>
      <c r="AC15" s="171">
        <v>1E-3</v>
      </c>
    </row>
    <row r="16" spans="2:29" ht="27" thickBot="1" x14ac:dyDescent="0.35">
      <c r="B16" s="161">
        <v>2013</v>
      </c>
      <c r="C16" s="154" t="s">
        <v>460</v>
      </c>
      <c r="D16" s="154" t="s">
        <v>461</v>
      </c>
      <c r="E16" s="155" t="s">
        <v>462</v>
      </c>
      <c r="F16" s="155" t="s">
        <v>463</v>
      </c>
      <c r="G16" s="154" t="s">
        <v>464</v>
      </c>
      <c r="H16" s="154" t="s">
        <v>465</v>
      </c>
      <c r="I16" s="155" t="s">
        <v>466</v>
      </c>
      <c r="J16" s="155" t="s">
        <v>467</v>
      </c>
      <c r="K16" s="154" t="s">
        <v>468</v>
      </c>
      <c r="L16" s="154" t="s">
        <v>469</v>
      </c>
      <c r="M16" s="155" t="s">
        <v>470</v>
      </c>
      <c r="N16" s="155" t="s">
        <v>471</v>
      </c>
      <c r="O16" s="159"/>
      <c r="Q16" s="170">
        <v>2013</v>
      </c>
      <c r="R16" s="170" t="s">
        <v>1333</v>
      </c>
      <c r="S16" s="170" t="s">
        <v>1334</v>
      </c>
      <c r="T16" s="170">
        <v>2.1999999999999999E-2</v>
      </c>
      <c r="U16" s="170" t="s">
        <v>1335</v>
      </c>
      <c r="V16" s="171">
        <v>4.0000000000000001E-3</v>
      </c>
      <c r="X16" s="170">
        <v>2013</v>
      </c>
      <c r="Y16" s="170" t="s">
        <v>1895</v>
      </c>
      <c r="Z16" s="170" t="s">
        <v>1896</v>
      </c>
      <c r="AA16" s="170">
        <v>8.0000000000000002E-3</v>
      </c>
      <c r="AB16" s="170" t="s">
        <v>1897</v>
      </c>
      <c r="AC16" s="171">
        <v>3.0000000000000001E-3</v>
      </c>
    </row>
    <row r="17" spans="2:29" ht="27" thickBot="1" x14ac:dyDescent="0.35">
      <c r="B17" s="161">
        <v>2014</v>
      </c>
      <c r="C17" s="154" t="s">
        <v>472</v>
      </c>
      <c r="D17" s="154" t="s">
        <v>473</v>
      </c>
      <c r="E17" s="155" t="s">
        <v>474</v>
      </c>
      <c r="F17" s="155" t="s">
        <v>475</v>
      </c>
      <c r="G17" s="154" t="s">
        <v>476</v>
      </c>
      <c r="H17" s="154" t="s">
        <v>477</v>
      </c>
      <c r="I17" s="155" t="s">
        <v>478</v>
      </c>
      <c r="J17" s="155" t="s">
        <v>479</v>
      </c>
      <c r="K17" s="154" t="s">
        <v>480</v>
      </c>
      <c r="L17" s="154" t="s">
        <v>481</v>
      </c>
      <c r="M17" s="155" t="s">
        <v>482</v>
      </c>
      <c r="N17" s="155" t="s">
        <v>483</v>
      </c>
      <c r="O17" s="159"/>
      <c r="Q17" s="170">
        <v>2014</v>
      </c>
      <c r="R17" s="170" t="s">
        <v>1336</v>
      </c>
      <c r="S17" s="170" t="s">
        <v>1337</v>
      </c>
      <c r="T17" s="170">
        <v>4.3999999999999997E-2</v>
      </c>
      <c r="U17" s="170" t="s">
        <v>1338</v>
      </c>
      <c r="V17" s="171">
        <v>4.0000000000000001E-3</v>
      </c>
      <c r="X17" s="170">
        <v>2014</v>
      </c>
      <c r="Y17" s="170" t="s">
        <v>1898</v>
      </c>
      <c r="Z17" s="170" t="s">
        <v>1899</v>
      </c>
      <c r="AA17" s="170">
        <v>7.0999999999999994E-2</v>
      </c>
      <c r="AB17" s="170" t="s">
        <v>1900</v>
      </c>
      <c r="AC17" s="171">
        <v>3.0000000000000001E-3</v>
      </c>
    </row>
    <row r="18" spans="2:29" ht="27" thickBot="1" x14ac:dyDescent="0.35">
      <c r="B18" s="161">
        <v>2015</v>
      </c>
      <c r="C18" s="154" t="s">
        <v>484</v>
      </c>
      <c r="D18" s="154" t="s">
        <v>485</v>
      </c>
      <c r="E18" s="155" t="s">
        <v>486</v>
      </c>
      <c r="F18" s="155" t="s">
        <v>487</v>
      </c>
      <c r="G18" s="154" t="s">
        <v>488</v>
      </c>
      <c r="H18" s="154" t="s">
        <v>489</v>
      </c>
      <c r="I18" s="155" t="s">
        <v>490</v>
      </c>
      <c r="J18" s="155" t="s">
        <v>491</v>
      </c>
      <c r="K18" s="154" t="s">
        <v>492</v>
      </c>
      <c r="L18" s="154" t="s">
        <v>493</v>
      </c>
      <c r="M18" s="155" t="s">
        <v>494</v>
      </c>
      <c r="N18" s="155" t="s">
        <v>495</v>
      </c>
      <c r="O18" s="159"/>
      <c r="Q18" s="170">
        <v>2015</v>
      </c>
      <c r="R18" s="170" t="s">
        <v>1339</v>
      </c>
      <c r="S18" s="170" t="s">
        <v>1340</v>
      </c>
      <c r="T18" s="170">
        <v>0.108</v>
      </c>
      <c r="U18" s="170" t="s">
        <v>1341</v>
      </c>
      <c r="V18" s="171">
        <v>2E-3</v>
      </c>
      <c r="X18" s="170">
        <v>2015</v>
      </c>
      <c r="Y18" s="170" t="s">
        <v>1901</v>
      </c>
      <c r="Z18" s="170" t="s">
        <v>1902</v>
      </c>
      <c r="AA18" s="170">
        <v>0.11899999999999999</v>
      </c>
      <c r="AB18" s="170" t="s">
        <v>1903</v>
      </c>
      <c r="AC18" s="171">
        <v>0</v>
      </c>
    </row>
    <row r="19" spans="2:29" ht="27" thickBot="1" x14ac:dyDescent="0.35">
      <c r="B19" s="161">
        <v>2016</v>
      </c>
      <c r="C19" s="154" t="s">
        <v>496</v>
      </c>
      <c r="D19" s="154" t="s">
        <v>497</v>
      </c>
      <c r="E19" s="155" t="s">
        <v>498</v>
      </c>
      <c r="F19" s="155" t="s">
        <v>499</v>
      </c>
      <c r="G19" s="154" t="s">
        <v>500</v>
      </c>
      <c r="H19" s="154" t="s">
        <v>501</v>
      </c>
      <c r="I19" s="155" t="s">
        <v>502</v>
      </c>
      <c r="J19" s="155" t="s">
        <v>503</v>
      </c>
      <c r="K19" s="154" t="s">
        <v>504</v>
      </c>
      <c r="L19" s="154" t="s">
        <v>505</v>
      </c>
      <c r="M19" s="155" t="s">
        <v>506</v>
      </c>
      <c r="N19" s="155" t="s">
        <v>507</v>
      </c>
      <c r="O19" s="159"/>
      <c r="Q19" s="170">
        <v>2016</v>
      </c>
      <c r="R19" s="170" t="s">
        <v>1342</v>
      </c>
      <c r="S19" s="170" t="s">
        <v>1343</v>
      </c>
      <c r="T19" s="170">
        <v>0.14399999999999999</v>
      </c>
      <c r="U19" s="170" t="s">
        <v>1344</v>
      </c>
      <c r="V19" s="171">
        <v>5.0000000000000001E-3</v>
      </c>
      <c r="X19" s="170">
        <v>2016</v>
      </c>
      <c r="Y19" s="170" t="s">
        <v>1904</v>
      </c>
      <c r="Z19" s="170" t="s">
        <v>1905</v>
      </c>
      <c r="AA19" s="170">
        <v>0.13700000000000001</v>
      </c>
      <c r="AB19" s="170" t="s">
        <v>1906</v>
      </c>
      <c r="AC19" s="171">
        <v>3.0000000000000001E-3</v>
      </c>
    </row>
    <row r="20" spans="2:29" ht="27" thickBot="1" x14ac:dyDescent="0.35">
      <c r="B20" s="161">
        <v>2017</v>
      </c>
      <c r="C20" s="154" t="s">
        <v>508</v>
      </c>
      <c r="D20" s="154" t="s">
        <v>509</v>
      </c>
      <c r="E20" s="155" t="s">
        <v>510</v>
      </c>
      <c r="F20" s="155" t="s">
        <v>511</v>
      </c>
      <c r="G20" s="154" t="s">
        <v>512</v>
      </c>
      <c r="H20" s="154" t="s">
        <v>513</v>
      </c>
      <c r="I20" s="155" t="s">
        <v>514</v>
      </c>
      <c r="J20" s="155" t="s">
        <v>515</v>
      </c>
      <c r="K20" s="154" t="s">
        <v>516</v>
      </c>
      <c r="L20" s="154" t="s">
        <v>517</v>
      </c>
      <c r="M20" s="155" t="s">
        <v>518</v>
      </c>
      <c r="N20" s="155" t="s">
        <v>519</v>
      </c>
      <c r="O20" s="159"/>
      <c r="Q20" s="170">
        <v>2017</v>
      </c>
      <c r="R20" s="170" t="s">
        <v>1345</v>
      </c>
      <c r="S20" s="170" t="s">
        <v>1346</v>
      </c>
      <c r="T20" s="170">
        <v>0.16700000000000001</v>
      </c>
      <c r="U20" s="170" t="s">
        <v>1347</v>
      </c>
      <c r="V20" s="171">
        <v>4.0000000000000001E-3</v>
      </c>
      <c r="X20" s="170">
        <v>2017</v>
      </c>
      <c r="Y20" s="170" t="s">
        <v>1907</v>
      </c>
      <c r="Z20" s="170" t="s">
        <v>1908</v>
      </c>
      <c r="AA20" s="170">
        <v>0.14899999999999999</v>
      </c>
      <c r="AB20" s="170" t="s">
        <v>1909</v>
      </c>
      <c r="AC20" s="171">
        <v>1E-3</v>
      </c>
    </row>
    <row r="21" spans="2:29" ht="27" thickBot="1" x14ac:dyDescent="0.35">
      <c r="B21" s="161">
        <v>2018</v>
      </c>
      <c r="C21" s="154" t="s">
        <v>520</v>
      </c>
      <c r="D21" s="154" t="s">
        <v>521</v>
      </c>
      <c r="E21" s="155" t="s">
        <v>522</v>
      </c>
      <c r="F21" s="155" t="s">
        <v>523</v>
      </c>
      <c r="G21" s="154" t="s">
        <v>524</v>
      </c>
      <c r="H21" s="154" t="s">
        <v>525</v>
      </c>
      <c r="I21" s="155" t="s">
        <v>526</v>
      </c>
      <c r="J21" s="155" t="s">
        <v>527</v>
      </c>
      <c r="K21" s="154" t="s">
        <v>528</v>
      </c>
      <c r="L21" s="154" t="s">
        <v>529</v>
      </c>
      <c r="M21" s="155" t="s">
        <v>530</v>
      </c>
      <c r="N21" s="155" t="s">
        <v>531</v>
      </c>
      <c r="O21" s="159"/>
      <c r="Q21" s="170">
        <v>2018</v>
      </c>
      <c r="R21" s="170" t="s">
        <v>1348</v>
      </c>
      <c r="S21" s="170" t="s">
        <v>1349</v>
      </c>
      <c r="T21" s="170">
        <v>0.193</v>
      </c>
      <c r="U21" s="170" t="s">
        <v>1350</v>
      </c>
      <c r="V21" s="171">
        <v>4.0000000000000001E-3</v>
      </c>
      <c r="X21" s="170">
        <v>2018</v>
      </c>
      <c r="Y21" s="170" t="s">
        <v>1910</v>
      </c>
      <c r="Z21" s="170" t="s">
        <v>1911</v>
      </c>
      <c r="AA21" s="170">
        <v>0.16600000000000001</v>
      </c>
      <c r="AB21" s="170" t="s">
        <v>1912</v>
      </c>
      <c r="AC21" s="171">
        <v>1E-3</v>
      </c>
    </row>
    <row r="22" spans="2:29" ht="27" thickBot="1" x14ac:dyDescent="0.35">
      <c r="B22" s="161">
        <v>2019</v>
      </c>
      <c r="C22" s="154" t="s">
        <v>532</v>
      </c>
      <c r="D22" s="154" t="s">
        <v>533</v>
      </c>
      <c r="E22" s="155" t="s">
        <v>534</v>
      </c>
      <c r="F22" s="155" t="s">
        <v>535</v>
      </c>
      <c r="G22" s="154" t="s">
        <v>536</v>
      </c>
      <c r="H22" s="154" t="s">
        <v>537</v>
      </c>
      <c r="I22" s="155" t="s">
        <v>538</v>
      </c>
      <c r="J22" s="155" t="s">
        <v>539</v>
      </c>
      <c r="K22" s="154" t="s">
        <v>540</v>
      </c>
      <c r="L22" s="154" t="s">
        <v>541</v>
      </c>
      <c r="M22" s="155" t="s">
        <v>542</v>
      </c>
      <c r="N22" s="155" t="s">
        <v>543</v>
      </c>
      <c r="O22" s="159"/>
      <c r="Q22" s="170">
        <v>2019</v>
      </c>
      <c r="R22" s="170" t="s">
        <v>1351</v>
      </c>
      <c r="S22" s="170" t="s">
        <v>1352</v>
      </c>
      <c r="T22" s="170">
        <v>0.189</v>
      </c>
      <c r="U22" s="170" t="s">
        <v>1353</v>
      </c>
      <c r="V22" s="171">
        <v>3.0000000000000001E-3</v>
      </c>
      <c r="X22" s="170">
        <v>2019</v>
      </c>
      <c r="Y22" s="170" t="s">
        <v>1913</v>
      </c>
      <c r="Z22" s="170" t="s">
        <v>1914</v>
      </c>
      <c r="AA22" s="170">
        <v>0.155</v>
      </c>
      <c r="AB22" s="170" t="s">
        <v>1915</v>
      </c>
      <c r="AC22" s="171">
        <v>2E-3</v>
      </c>
    </row>
    <row r="23" spans="2:29" ht="27" thickBot="1" x14ac:dyDescent="0.35">
      <c r="B23" s="161">
        <v>2020</v>
      </c>
      <c r="C23" s="154" t="s">
        <v>544</v>
      </c>
      <c r="D23" s="154" t="s">
        <v>545</v>
      </c>
      <c r="E23" s="155" t="s">
        <v>546</v>
      </c>
      <c r="F23" s="155" t="s">
        <v>547</v>
      </c>
      <c r="G23" s="154" t="s">
        <v>548</v>
      </c>
      <c r="H23" s="154" t="s">
        <v>549</v>
      </c>
      <c r="I23" s="155" t="s">
        <v>550</v>
      </c>
      <c r="J23" s="155" t="s">
        <v>551</v>
      </c>
      <c r="K23" s="154" t="s">
        <v>552</v>
      </c>
      <c r="L23" s="154" t="s">
        <v>553</v>
      </c>
      <c r="M23" s="155" t="s">
        <v>554</v>
      </c>
      <c r="N23" s="155" t="s">
        <v>555</v>
      </c>
      <c r="O23" s="159"/>
      <c r="Q23" s="170">
        <v>2020</v>
      </c>
      <c r="R23" s="170" t="s">
        <v>1354</v>
      </c>
      <c r="S23" s="170" t="s">
        <v>1355</v>
      </c>
      <c r="T23" s="170">
        <v>0.126</v>
      </c>
      <c r="U23" s="170" t="s">
        <v>1356</v>
      </c>
      <c r="V23" s="171">
        <v>3.0000000000000001E-3</v>
      </c>
      <c r="X23" s="170">
        <v>2020</v>
      </c>
      <c r="Y23" s="170" t="s">
        <v>1916</v>
      </c>
      <c r="Z23" s="170" t="s">
        <v>1917</v>
      </c>
      <c r="AA23" s="170">
        <v>8.5000000000000006E-2</v>
      </c>
      <c r="AB23" s="170" t="s">
        <v>1918</v>
      </c>
      <c r="AC23" s="171">
        <v>2E-3</v>
      </c>
    </row>
    <row r="24" spans="2:29" ht="27" thickBot="1" x14ac:dyDescent="0.35">
      <c r="B24" s="161">
        <v>2021</v>
      </c>
      <c r="C24" s="154" t="s">
        <v>556</v>
      </c>
      <c r="D24" s="154" t="s">
        <v>557</v>
      </c>
      <c r="E24" s="155" t="s">
        <v>546</v>
      </c>
      <c r="F24" s="155" t="s">
        <v>558</v>
      </c>
      <c r="G24" s="154" t="s">
        <v>559</v>
      </c>
      <c r="H24" s="154" t="s">
        <v>560</v>
      </c>
      <c r="I24" s="155" t="s">
        <v>561</v>
      </c>
      <c r="J24" s="155" t="s">
        <v>562</v>
      </c>
      <c r="K24" s="154" t="s">
        <v>563</v>
      </c>
      <c r="L24" s="154" t="s">
        <v>564</v>
      </c>
      <c r="M24" s="155" t="s">
        <v>565</v>
      </c>
      <c r="N24" s="155" t="s">
        <v>566</v>
      </c>
      <c r="O24" s="159"/>
      <c r="Q24" s="170">
        <v>2021</v>
      </c>
      <c r="R24" s="170" t="s">
        <v>1357</v>
      </c>
      <c r="S24" s="170" t="s">
        <v>1358</v>
      </c>
      <c r="T24" s="170">
        <v>0.11899999999999999</v>
      </c>
      <c r="U24" s="170" t="s">
        <v>1359</v>
      </c>
      <c r="V24" s="171">
        <v>8.0000000000000002E-3</v>
      </c>
      <c r="X24" s="170">
        <v>2021</v>
      </c>
      <c r="Y24" s="170" t="s">
        <v>1916</v>
      </c>
      <c r="Z24" s="170" t="s">
        <v>1919</v>
      </c>
      <c r="AA24" s="170">
        <v>7.3999999999999996E-2</v>
      </c>
      <c r="AB24" s="170" t="s">
        <v>1920</v>
      </c>
      <c r="AC24" s="171">
        <v>4.0000000000000001E-3</v>
      </c>
    </row>
    <row r="25" spans="2:29" ht="27" thickBot="1" x14ac:dyDescent="0.35">
      <c r="B25" s="161">
        <v>2022</v>
      </c>
      <c r="C25" s="154" t="s">
        <v>567</v>
      </c>
      <c r="D25" s="154" t="s">
        <v>568</v>
      </c>
      <c r="E25" s="155" t="s">
        <v>569</v>
      </c>
      <c r="F25" s="155" t="s">
        <v>570</v>
      </c>
      <c r="G25" s="154" t="s">
        <v>571</v>
      </c>
      <c r="H25" s="154" t="s">
        <v>572</v>
      </c>
      <c r="I25" s="155" t="s">
        <v>573</v>
      </c>
      <c r="J25" s="155" t="s">
        <v>574</v>
      </c>
      <c r="K25" s="154" t="s">
        <v>575</v>
      </c>
      <c r="L25" s="154" t="s">
        <v>576</v>
      </c>
      <c r="M25" s="155" t="s">
        <v>577</v>
      </c>
      <c r="N25" s="155" t="s">
        <v>578</v>
      </c>
      <c r="O25" s="159"/>
      <c r="Q25" s="170">
        <v>2022</v>
      </c>
      <c r="R25" s="170" t="s">
        <v>1360</v>
      </c>
      <c r="S25" s="170" t="s">
        <v>1361</v>
      </c>
      <c r="T25" s="170">
        <v>9.5000000000000001E-2</v>
      </c>
      <c r="U25" s="170" t="s">
        <v>1362</v>
      </c>
      <c r="V25" s="171">
        <v>8.0000000000000002E-3</v>
      </c>
      <c r="X25" s="170">
        <v>2022</v>
      </c>
      <c r="Y25" s="170" t="s">
        <v>1921</v>
      </c>
      <c r="Z25" s="170" t="s">
        <v>1922</v>
      </c>
      <c r="AA25" s="170">
        <v>5.5E-2</v>
      </c>
      <c r="AB25" s="170" t="s">
        <v>1923</v>
      </c>
      <c r="AC25" s="171">
        <v>3.0000000000000001E-3</v>
      </c>
    </row>
    <row r="26" spans="2:29" ht="40.200000000000003" thickBot="1" x14ac:dyDescent="0.35">
      <c r="B26" s="161" t="s">
        <v>333</v>
      </c>
      <c r="C26" s="162"/>
      <c r="D26" s="162"/>
      <c r="E26" s="163"/>
      <c r="F26" s="163"/>
      <c r="G26" s="162"/>
      <c r="H26" s="162"/>
      <c r="I26" s="163"/>
      <c r="J26" s="163"/>
      <c r="K26" s="162"/>
      <c r="L26" s="162"/>
      <c r="M26" s="163"/>
      <c r="N26" s="163"/>
      <c r="O26" s="159"/>
      <c r="Q26" s="170" t="s">
        <v>1141</v>
      </c>
      <c r="R26" s="170" t="s">
        <v>1363</v>
      </c>
      <c r="S26" s="170" t="s">
        <v>1364</v>
      </c>
      <c r="T26" s="170">
        <v>0.05</v>
      </c>
      <c r="U26" s="170" t="s">
        <v>1365</v>
      </c>
      <c r="V26" s="171">
        <v>6.4000000000000001E-2</v>
      </c>
      <c r="X26" s="170" t="s">
        <v>1141</v>
      </c>
      <c r="Y26" s="170" t="s">
        <v>1924</v>
      </c>
      <c r="Z26" s="170" t="s">
        <v>1364</v>
      </c>
      <c r="AA26" s="170">
        <v>5.3999999999999999E-2</v>
      </c>
      <c r="AB26" s="170" t="s">
        <v>1925</v>
      </c>
      <c r="AC26" s="171">
        <v>7.3999999999999996E-2</v>
      </c>
    </row>
    <row r="27" spans="2:29" ht="27" thickBot="1" x14ac:dyDescent="0.35">
      <c r="B27" s="161" t="s">
        <v>334</v>
      </c>
      <c r="C27" s="154" t="s">
        <v>579</v>
      </c>
      <c r="D27" s="154" t="s">
        <v>580</v>
      </c>
      <c r="E27" s="155" t="s">
        <v>581</v>
      </c>
      <c r="F27" s="155" t="s">
        <v>582</v>
      </c>
      <c r="G27" s="154" t="s">
        <v>583</v>
      </c>
      <c r="H27" s="154" t="s">
        <v>584</v>
      </c>
      <c r="I27" s="155" t="s">
        <v>585</v>
      </c>
      <c r="J27" s="155" t="s">
        <v>586</v>
      </c>
      <c r="K27" s="154" t="s">
        <v>587</v>
      </c>
      <c r="L27" s="154" t="s">
        <v>588</v>
      </c>
      <c r="M27" s="155" t="s">
        <v>589</v>
      </c>
      <c r="N27" s="155" t="s">
        <v>590</v>
      </c>
      <c r="O27" s="159"/>
      <c r="Q27" s="172" t="s">
        <v>1145</v>
      </c>
      <c r="R27" s="170"/>
      <c r="S27" s="170"/>
      <c r="T27" s="170"/>
      <c r="U27" s="170"/>
      <c r="V27" s="171"/>
      <c r="X27" s="172" t="s">
        <v>1145</v>
      </c>
      <c r="Y27" s="170"/>
      <c r="Z27" s="170"/>
      <c r="AA27" s="170"/>
      <c r="AB27" s="170"/>
      <c r="AC27" s="171"/>
    </row>
    <row r="28" spans="2:29" ht="27" thickBot="1" x14ac:dyDescent="0.35">
      <c r="B28" s="161" t="s">
        <v>335</v>
      </c>
      <c r="C28" s="154" t="s">
        <v>591</v>
      </c>
      <c r="D28" s="154" t="s">
        <v>592</v>
      </c>
      <c r="E28" s="155" t="s">
        <v>593</v>
      </c>
      <c r="F28" s="155" t="s">
        <v>594</v>
      </c>
      <c r="G28" s="154" t="s">
        <v>595</v>
      </c>
      <c r="H28" s="154" t="s">
        <v>596</v>
      </c>
      <c r="I28" s="155" t="s">
        <v>597</v>
      </c>
      <c r="J28" s="155" t="s">
        <v>598</v>
      </c>
      <c r="K28" s="154" t="s">
        <v>599</v>
      </c>
      <c r="L28" s="154" t="s">
        <v>600</v>
      </c>
      <c r="M28" s="155" t="s">
        <v>601</v>
      </c>
      <c r="N28" s="155" t="s">
        <v>602</v>
      </c>
      <c r="O28" s="159"/>
      <c r="Q28" s="170" t="s">
        <v>334</v>
      </c>
      <c r="R28" s="170" t="s">
        <v>1366</v>
      </c>
      <c r="S28" s="170" t="s">
        <v>1367</v>
      </c>
      <c r="T28" s="170">
        <v>0.114</v>
      </c>
      <c r="U28" s="170" t="s">
        <v>1368</v>
      </c>
      <c r="V28" s="171">
        <v>1.4999999999999999E-2</v>
      </c>
      <c r="X28" s="170" t="s">
        <v>334</v>
      </c>
      <c r="Y28" s="170" t="s">
        <v>1926</v>
      </c>
      <c r="Z28" s="170" t="s">
        <v>1927</v>
      </c>
      <c r="AA28" s="170">
        <v>0.113</v>
      </c>
      <c r="AB28" s="170" t="s">
        <v>1928</v>
      </c>
      <c r="AC28" s="171">
        <v>1.4999999999999999E-2</v>
      </c>
    </row>
    <row r="29" spans="2:29" ht="27" thickBot="1" x14ac:dyDescent="0.35">
      <c r="B29" s="161" t="s">
        <v>336</v>
      </c>
      <c r="C29" s="154" t="s">
        <v>603</v>
      </c>
      <c r="D29" s="154" t="s">
        <v>604</v>
      </c>
      <c r="E29" s="155" t="s">
        <v>605</v>
      </c>
      <c r="F29" s="155" t="s">
        <v>606</v>
      </c>
      <c r="G29" s="154" t="s">
        <v>607</v>
      </c>
      <c r="H29" s="154" t="s">
        <v>608</v>
      </c>
      <c r="I29" s="155" t="s">
        <v>609</v>
      </c>
      <c r="J29" s="155" t="s">
        <v>610</v>
      </c>
      <c r="K29" s="154" t="s">
        <v>611</v>
      </c>
      <c r="L29" s="154" t="s">
        <v>612</v>
      </c>
      <c r="M29" s="155" t="s">
        <v>613</v>
      </c>
      <c r="N29" s="155" t="s">
        <v>614</v>
      </c>
      <c r="O29" s="159"/>
      <c r="Q29" s="170" t="s">
        <v>335</v>
      </c>
      <c r="R29" s="170" t="s">
        <v>1369</v>
      </c>
      <c r="S29" s="170" t="s">
        <v>1370</v>
      </c>
      <c r="T29" s="170">
        <v>6.7000000000000004E-2</v>
      </c>
      <c r="U29" s="170" t="s">
        <v>1371</v>
      </c>
      <c r="V29" s="171">
        <v>1.6E-2</v>
      </c>
      <c r="X29" s="170" t="s">
        <v>335</v>
      </c>
      <c r="Y29" s="170" t="s">
        <v>1929</v>
      </c>
      <c r="Z29" s="170" t="s">
        <v>1930</v>
      </c>
      <c r="AA29" s="170">
        <v>5.2999999999999999E-2</v>
      </c>
      <c r="AB29" s="170" t="s">
        <v>1931</v>
      </c>
      <c r="AC29" s="171">
        <v>1.7000000000000001E-2</v>
      </c>
    </row>
    <row r="30" spans="2:29" ht="27" thickBot="1" x14ac:dyDescent="0.35">
      <c r="B30" s="161" t="s">
        <v>337</v>
      </c>
      <c r="C30" s="154" t="s">
        <v>615</v>
      </c>
      <c r="D30" s="154" t="s">
        <v>616</v>
      </c>
      <c r="E30" s="155" t="s">
        <v>617</v>
      </c>
      <c r="F30" s="155" t="s">
        <v>618</v>
      </c>
      <c r="G30" s="154" t="s">
        <v>619</v>
      </c>
      <c r="H30" s="154" t="s">
        <v>620</v>
      </c>
      <c r="I30" s="155" t="s">
        <v>621</v>
      </c>
      <c r="J30" s="155" t="s">
        <v>622</v>
      </c>
      <c r="K30" s="154" t="s">
        <v>623</v>
      </c>
      <c r="L30" s="154" t="s">
        <v>624</v>
      </c>
      <c r="M30" s="155" t="s">
        <v>625</v>
      </c>
      <c r="N30" s="155" t="s">
        <v>626</v>
      </c>
      <c r="O30" s="159"/>
      <c r="Q30" s="170" t="s">
        <v>336</v>
      </c>
      <c r="R30" s="170" t="s">
        <v>1372</v>
      </c>
      <c r="S30" s="170" t="s">
        <v>1373</v>
      </c>
      <c r="T30" s="170">
        <v>0.16700000000000001</v>
      </c>
      <c r="U30" s="170" t="s">
        <v>1374</v>
      </c>
      <c r="V30" s="171">
        <v>2.5999999999999999E-2</v>
      </c>
      <c r="X30" s="170" t="s">
        <v>336</v>
      </c>
      <c r="Y30" s="170" t="s">
        <v>1932</v>
      </c>
      <c r="Z30" s="170" t="s">
        <v>1933</v>
      </c>
      <c r="AA30" s="170">
        <v>0.16500000000000001</v>
      </c>
      <c r="AB30" s="170" t="s">
        <v>1934</v>
      </c>
      <c r="AC30" s="171">
        <v>0.03</v>
      </c>
    </row>
    <row r="31" spans="2:29" ht="27" thickBot="1" x14ac:dyDescent="0.35">
      <c r="B31" s="161" t="s">
        <v>338</v>
      </c>
      <c r="C31" s="162"/>
      <c r="D31" s="162"/>
      <c r="E31" s="163"/>
      <c r="F31" s="163"/>
      <c r="G31" s="162"/>
      <c r="H31" s="162"/>
      <c r="I31" s="163"/>
      <c r="J31" s="163"/>
      <c r="K31" s="162"/>
      <c r="L31" s="162"/>
      <c r="M31" s="163"/>
      <c r="N31" s="163"/>
      <c r="O31" s="159"/>
      <c r="Q31" s="170" t="s">
        <v>1155</v>
      </c>
      <c r="R31" s="170" t="s">
        <v>1375</v>
      </c>
      <c r="S31" s="170" t="s">
        <v>1376</v>
      </c>
      <c r="T31" s="170">
        <v>6.3E-2</v>
      </c>
      <c r="U31" s="170" t="s">
        <v>1377</v>
      </c>
      <c r="V31" s="171">
        <v>7.0000000000000001E-3</v>
      </c>
      <c r="X31" s="170" t="s">
        <v>1155</v>
      </c>
      <c r="Y31" s="170" t="s">
        <v>1935</v>
      </c>
      <c r="Z31" s="170" t="s">
        <v>1936</v>
      </c>
      <c r="AA31" s="170">
        <v>7.9000000000000001E-2</v>
      </c>
      <c r="AB31" s="170" t="s">
        <v>1937</v>
      </c>
      <c r="AC31" s="171">
        <v>1.2E-2</v>
      </c>
    </row>
    <row r="32" spans="2:29" ht="27" thickBot="1" x14ac:dyDescent="0.35">
      <c r="B32" s="161" t="s">
        <v>339</v>
      </c>
      <c r="C32" s="154" t="s">
        <v>627</v>
      </c>
      <c r="D32" s="154" t="s">
        <v>628</v>
      </c>
      <c r="E32" s="155" t="s">
        <v>629</v>
      </c>
      <c r="F32" s="155" t="s">
        <v>630</v>
      </c>
      <c r="G32" s="154" t="s">
        <v>631</v>
      </c>
      <c r="H32" s="154" t="s">
        <v>632</v>
      </c>
      <c r="I32" s="155" t="s">
        <v>633</v>
      </c>
      <c r="J32" s="155" t="s">
        <v>634</v>
      </c>
      <c r="K32" s="154" t="s">
        <v>635</v>
      </c>
      <c r="L32" s="154" t="s">
        <v>636</v>
      </c>
      <c r="M32" s="155" t="s">
        <v>637</v>
      </c>
      <c r="N32" s="155" t="s">
        <v>638</v>
      </c>
      <c r="O32" s="159"/>
      <c r="Q32" s="172" t="s">
        <v>1159</v>
      </c>
      <c r="R32" s="170"/>
      <c r="S32" s="170"/>
      <c r="T32" s="170"/>
      <c r="U32" s="170"/>
      <c r="V32" s="171"/>
      <c r="X32" s="172" t="s">
        <v>1159</v>
      </c>
      <c r="Y32" s="170"/>
      <c r="Z32" s="170"/>
      <c r="AA32" s="170"/>
      <c r="AB32" s="170"/>
      <c r="AC32" s="171"/>
    </row>
    <row r="33" spans="2:29" ht="27" thickBot="1" x14ac:dyDescent="0.35">
      <c r="B33" s="161" t="s">
        <v>340</v>
      </c>
      <c r="C33" s="154" t="s">
        <v>639</v>
      </c>
      <c r="D33" s="154" t="s">
        <v>640</v>
      </c>
      <c r="E33" s="155" t="s">
        <v>641</v>
      </c>
      <c r="F33" s="155" t="s">
        <v>642</v>
      </c>
      <c r="G33" s="154" t="s">
        <v>643</v>
      </c>
      <c r="H33" s="154" t="s">
        <v>644</v>
      </c>
      <c r="I33" s="155" t="s">
        <v>645</v>
      </c>
      <c r="J33" s="155" t="s">
        <v>646</v>
      </c>
      <c r="K33" s="154" t="s">
        <v>647</v>
      </c>
      <c r="L33" s="154" t="s">
        <v>648</v>
      </c>
      <c r="M33" s="155" t="s">
        <v>649</v>
      </c>
      <c r="N33" s="155" t="s">
        <v>650</v>
      </c>
      <c r="O33" s="159"/>
      <c r="Q33" s="170" t="s">
        <v>339</v>
      </c>
      <c r="R33" s="170" t="s">
        <v>1378</v>
      </c>
      <c r="S33" s="170" t="s">
        <v>1379</v>
      </c>
      <c r="T33" s="170">
        <v>6.4000000000000001E-2</v>
      </c>
      <c r="U33" s="170" t="s">
        <v>1380</v>
      </c>
      <c r="V33" s="171">
        <v>0</v>
      </c>
      <c r="X33" s="170" t="s">
        <v>339</v>
      </c>
      <c r="Y33" s="170" t="s">
        <v>1938</v>
      </c>
      <c r="Z33" s="170" t="s">
        <v>1939</v>
      </c>
      <c r="AA33" s="170">
        <v>5.7000000000000002E-2</v>
      </c>
      <c r="AB33" s="170" t="s">
        <v>1940</v>
      </c>
      <c r="AC33" s="171">
        <v>4.0000000000000001E-3</v>
      </c>
    </row>
    <row r="34" spans="2:29" ht="27" thickBot="1" x14ac:dyDescent="0.35">
      <c r="B34" s="161" t="s">
        <v>337</v>
      </c>
      <c r="C34" s="154" t="s">
        <v>651</v>
      </c>
      <c r="D34" s="154" t="s">
        <v>652</v>
      </c>
      <c r="E34" s="155" t="s">
        <v>653</v>
      </c>
      <c r="F34" s="155" t="s">
        <v>654</v>
      </c>
      <c r="G34" s="154" t="s">
        <v>655</v>
      </c>
      <c r="H34" s="154" t="s">
        <v>656</v>
      </c>
      <c r="I34" s="155" t="s">
        <v>657</v>
      </c>
      <c r="J34" s="155" t="s">
        <v>658</v>
      </c>
      <c r="K34" s="154" t="s">
        <v>659</v>
      </c>
      <c r="L34" s="154" t="s">
        <v>660</v>
      </c>
      <c r="M34" s="155" t="s">
        <v>661</v>
      </c>
      <c r="N34" s="155" t="s">
        <v>662</v>
      </c>
      <c r="O34" s="159"/>
      <c r="Q34" s="170" t="s">
        <v>340</v>
      </c>
      <c r="R34" s="170" t="s">
        <v>1381</v>
      </c>
      <c r="S34" s="170" t="s">
        <v>1382</v>
      </c>
      <c r="T34" s="170">
        <v>2.5999999999999999E-2</v>
      </c>
      <c r="U34" s="170" t="s">
        <v>1383</v>
      </c>
      <c r="V34" s="171">
        <v>5.0000000000000001E-3</v>
      </c>
      <c r="X34" s="170" t="s">
        <v>340</v>
      </c>
      <c r="Y34" s="170" t="s">
        <v>1941</v>
      </c>
      <c r="Z34" s="170" t="s">
        <v>1942</v>
      </c>
      <c r="AA34" s="170">
        <v>3.3000000000000002E-2</v>
      </c>
      <c r="AB34" s="170" t="s">
        <v>1943</v>
      </c>
      <c r="AC34" s="171">
        <v>5.0000000000000001E-3</v>
      </c>
    </row>
    <row r="35" spans="2:29" ht="27" thickBot="1" x14ac:dyDescent="0.35">
      <c r="B35" s="161" t="s">
        <v>341</v>
      </c>
      <c r="C35" s="154" t="s">
        <v>663</v>
      </c>
      <c r="D35" s="154" t="s">
        <v>664</v>
      </c>
      <c r="E35" s="155" t="s">
        <v>665</v>
      </c>
      <c r="F35" s="155" t="s">
        <v>666</v>
      </c>
      <c r="G35" s="154" t="s">
        <v>667</v>
      </c>
      <c r="H35" s="154" t="s">
        <v>668</v>
      </c>
      <c r="I35" s="155" t="s">
        <v>669</v>
      </c>
      <c r="J35" s="155" t="s">
        <v>670</v>
      </c>
      <c r="K35" s="154" t="s">
        <v>671</v>
      </c>
      <c r="L35" s="154" t="s">
        <v>672</v>
      </c>
      <c r="M35" s="155" t="s">
        <v>673</v>
      </c>
      <c r="N35" s="155" t="s">
        <v>674</v>
      </c>
      <c r="O35" s="159"/>
      <c r="Q35" s="170" t="s">
        <v>337</v>
      </c>
      <c r="R35" s="170" t="s">
        <v>1384</v>
      </c>
      <c r="S35" s="170" t="s">
        <v>1385</v>
      </c>
      <c r="T35" s="170">
        <v>8.6999999999999994E-2</v>
      </c>
      <c r="U35" s="170" t="s">
        <v>1386</v>
      </c>
      <c r="V35" s="171">
        <v>2E-3</v>
      </c>
      <c r="X35" s="170" t="s">
        <v>337</v>
      </c>
      <c r="Y35" s="170" t="s">
        <v>1944</v>
      </c>
      <c r="Z35" s="170" t="s">
        <v>1945</v>
      </c>
      <c r="AA35" s="170">
        <v>8.5999999999999993E-2</v>
      </c>
      <c r="AB35" s="170" t="s">
        <v>1946</v>
      </c>
      <c r="AC35" s="171">
        <v>6.0000000000000001E-3</v>
      </c>
    </row>
    <row r="36" spans="2:29" ht="27" thickBot="1" x14ac:dyDescent="0.35">
      <c r="B36" s="161" t="s">
        <v>342</v>
      </c>
      <c r="C36" s="162"/>
      <c r="D36" s="162"/>
      <c r="E36" s="163"/>
      <c r="F36" s="163"/>
      <c r="G36" s="162"/>
      <c r="H36" s="162"/>
      <c r="I36" s="163"/>
      <c r="J36" s="163"/>
      <c r="K36" s="162"/>
      <c r="L36" s="162"/>
      <c r="M36" s="163"/>
      <c r="N36" s="163"/>
      <c r="O36" s="159"/>
      <c r="Q36" s="170" t="s">
        <v>341</v>
      </c>
      <c r="R36" s="170" t="s">
        <v>1387</v>
      </c>
      <c r="S36" s="170" t="s">
        <v>1388</v>
      </c>
      <c r="T36" s="170">
        <v>1.6E-2</v>
      </c>
      <c r="U36" s="170" t="s">
        <v>1389</v>
      </c>
      <c r="V36" s="171">
        <v>5.0000000000000001E-3</v>
      </c>
      <c r="X36" s="170" t="s">
        <v>341</v>
      </c>
      <c r="Y36" s="170" t="s">
        <v>1947</v>
      </c>
      <c r="Z36" s="170" t="s">
        <v>1948</v>
      </c>
      <c r="AA36" s="170">
        <v>1.9E-2</v>
      </c>
      <c r="AB36" s="170" t="s">
        <v>1949</v>
      </c>
      <c r="AC36" s="171">
        <v>2E-3</v>
      </c>
    </row>
    <row r="37" spans="2:29" ht="27" thickBot="1" x14ac:dyDescent="0.35">
      <c r="B37" s="161" t="s">
        <v>340</v>
      </c>
      <c r="C37" s="154" t="s">
        <v>675</v>
      </c>
      <c r="D37" s="154" t="s">
        <v>676</v>
      </c>
      <c r="E37" s="155" t="s">
        <v>677</v>
      </c>
      <c r="F37" s="155" t="s">
        <v>678</v>
      </c>
      <c r="G37" s="154" t="s">
        <v>679</v>
      </c>
      <c r="H37" s="154" t="s">
        <v>680</v>
      </c>
      <c r="I37" s="155" t="s">
        <v>681</v>
      </c>
      <c r="J37" s="155" t="s">
        <v>682</v>
      </c>
      <c r="K37" s="154" t="s">
        <v>683</v>
      </c>
      <c r="L37" s="154" t="s">
        <v>684</v>
      </c>
      <c r="M37" s="155" t="s">
        <v>685</v>
      </c>
      <c r="N37" s="155" t="s">
        <v>686</v>
      </c>
      <c r="O37" s="159"/>
      <c r="Q37" s="172" t="s">
        <v>1172</v>
      </c>
      <c r="R37" s="170"/>
      <c r="S37" s="170"/>
      <c r="T37" s="170"/>
      <c r="U37" s="170"/>
      <c r="V37" s="171"/>
      <c r="X37" s="172" t="s">
        <v>1172</v>
      </c>
      <c r="Y37" s="170"/>
      <c r="Z37" s="170"/>
      <c r="AA37" s="170"/>
      <c r="AB37" s="170"/>
      <c r="AC37" s="171"/>
    </row>
    <row r="38" spans="2:29" ht="27" thickBot="1" x14ac:dyDescent="0.35">
      <c r="B38" s="161" t="s">
        <v>339</v>
      </c>
      <c r="C38" s="154" t="s">
        <v>687</v>
      </c>
      <c r="D38" s="154" t="s">
        <v>688</v>
      </c>
      <c r="E38" s="155" t="s">
        <v>689</v>
      </c>
      <c r="F38" s="155" t="s">
        <v>690</v>
      </c>
      <c r="G38" s="154" t="s">
        <v>691</v>
      </c>
      <c r="H38" s="154" t="s">
        <v>692</v>
      </c>
      <c r="I38" s="155" t="s">
        <v>693</v>
      </c>
      <c r="J38" s="155" t="s">
        <v>694</v>
      </c>
      <c r="K38" s="154" t="s">
        <v>695</v>
      </c>
      <c r="L38" s="154" t="s">
        <v>696</v>
      </c>
      <c r="M38" s="155" t="s">
        <v>697</v>
      </c>
      <c r="N38" s="155" t="s">
        <v>698</v>
      </c>
      <c r="O38" s="159"/>
      <c r="Q38" s="170" t="s">
        <v>340</v>
      </c>
      <c r="R38" s="170" t="s">
        <v>1390</v>
      </c>
      <c r="S38" s="170" t="s">
        <v>1391</v>
      </c>
      <c r="T38" s="170">
        <v>2.4E-2</v>
      </c>
      <c r="U38" s="170" t="s">
        <v>1392</v>
      </c>
      <c r="V38" s="171">
        <v>3.0000000000000001E-3</v>
      </c>
      <c r="X38" s="170" t="s">
        <v>340</v>
      </c>
      <c r="Y38" s="170" t="s">
        <v>1950</v>
      </c>
      <c r="Z38" s="170" t="s">
        <v>1951</v>
      </c>
      <c r="AA38" s="170">
        <v>2.5000000000000001E-2</v>
      </c>
      <c r="AB38" s="170" t="s">
        <v>1952</v>
      </c>
      <c r="AC38" s="171">
        <v>6.0000000000000001E-3</v>
      </c>
    </row>
    <row r="39" spans="2:29" ht="27" thickBot="1" x14ac:dyDescent="0.35">
      <c r="B39" s="161" t="s">
        <v>337</v>
      </c>
      <c r="C39" s="154" t="s">
        <v>699</v>
      </c>
      <c r="D39" s="154" t="s">
        <v>700</v>
      </c>
      <c r="E39" s="155" t="s">
        <v>701</v>
      </c>
      <c r="F39" s="155" t="s">
        <v>702</v>
      </c>
      <c r="G39" s="154" t="s">
        <v>703</v>
      </c>
      <c r="H39" s="154" t="s">
        <v>704</v>
      </c>
      <c r="I39" s="155" t="s">
        <v>705</v>
      </c>
      <c r="J39" s="155" t="s">
        <v>706</v>
      </c>
      <c r="K39" s="154" t="s">
        <v>707</v>
      </c>
      <c r="L39" s="154" t="s">
        <v>708</v>
      </c>
      <c r="M39" s="155" t="s">
        <v>709</v>
      </c>
      <c r="N39" s="155" t="s">
        <v>710</v>
      </c>
      <c r="O39" s="159"/>
      <c r="Q39" s="170" t="s">
        <v>339</v>
      </c>
      <c r="R39" s="170" t="s">
        <v>1393</v>
      </c>
      <c r="S39" s="170" t="s">
        <v>1394</v>
      </c>
      <c r="T39" s="170">
        <v>0.05</v>
      </c>
      <c r="U39" s="170" t="s">
        <v>1395</v>
      </c>
      <c r="V39" s="171">
        <v>3.0000000000000001E-3</v>
      </c>
      <c r="X39" s="170" t="s">
        <v>339</v>
      </c>
      <c r="Y39" s="170" t="s">
        <v>1953</v>
      </c>
      <c r="Z39" s="170" t="s">
        <v>1954</v>
      </c>
      <c r="AA39" s="170">
        <v>4.2000000000000003E-2</v>
      </c>
      <c r="AB39" s="170" t="s">
        <v>1955</v>
      </c>
      <c r="AC39" s="171">
        <v>4.0000000000000001E-3</v>
      </c>
    </row>
    <row r="40" spans="2:29" ht="27" thickBot="1" x14ac:dyDescent="0.35">
      <c r="B40" s="161" t="s">
        <v>341</v>
      </c>
      <c r="C40" s="154" t="s">
        <v>711</v>
      </c>
      <c r="D40" s="154" t="s">
        <v>712</v>
      </c>
      <c r="E40" s="155" t="s">
        <v>713</v>
      </c>
      <c r="F40" s="155" t="s">
        <v>714</v>
      </c>
      <c r="G40" s="154" t="s">
        <v>715</v>
      </c>
      <c r="H40" s="154" t="s">
        <v>716</v>
      </c>
      <c r="I40" s="155" t="s">
        <v>717</v>
      </c>
      <c r="J40" s="155" t="s">
        <v>718</v>
      </c>
      <c r="K40" s="154" t="s">
        <v>719</v>
      </c>
      <c r="L40" s="154" t="s">
        <v>720</v>
      </c>
      <c r="M40" s="155" t="s">
        <v>721</v>
      </c>
      <c r="N40" s="155" t="s">
        <v>722</v>
      </c>
      <c r="O40" s="159"/>
      <c r="Q40" s="170" t="s">
        <v>337</v>
      </c>
      <c r="R40" s="170" t="s">
        <v>1396</v>
      </c>
      <c r="S40" s="170" t="s">
        <v>1397</v>
      </c>
      <c r="T40" s="170">
        <v>1E-3</v>
      </c>
      <c r="U40" s="170" t="s">
        <v>1398</v>
      </c>
      <c r="V40" s="171">
        <v>2E-3</v>
      </c>
      <c r="X40" s="170" t="s">
        <v>337</v>
      </c>
      <c r="Y40" s="170" t="s">
        <v>1956</v>
      </c>
      <c r="Z40" s="170" t="s">
        <v>1957</v>
      </c>
      <c r="AA40" s="170">
        <v>2.1999999999999999E-2</v>
      </c>
      <c r="AB40" s="170" t="s">
        <v>1958</v>
      </c>
      <c r="AC40" s="171">
        <v>5.0000000000000001E-3</v>
      </c>
    </row>
    <row r="41" spans="2:29" ht="27" thickBot="1" x14ac:dyDescent="0.35">
      <c r="B41" s="161" t="s">
        <v>343</v>
      </c>
      <c r="C41" s="162"/>
      <c r="D41" s="162"/>
      <c r="E41" s="163"/>
      <c r="F41" s="163"/>
      <c r="G41" s="162"/>
      <c r="H41" s="162"/>
      <c r="I41" s="163"/>
      <c r="J41" s="163"/>
      <c r="K41" s="162"/>
      <c r="L41" s="162"/>
      <c r="M41" s="163"/>
      <c r="N41" s="163"/>
      <c r="O41" s="159"/>
      <c r="Q41" s="170" t="s">
        <v>341</v>
      </c>
      <c r="R41" s="170" t="s">
        <v>1399</v>
      </c>
      <c r="S41" s="170" t="s">
        <v>1400</v>
      </c>
      <c r="T41" s="170">
        <v>1.2999999999999999E-2</v>
      </c>
      <c r="U41" s="170" t="s">
        <v>1401</v>
      </c>
      <c r="V41" s="171">
        <v>3.0000000000000001E-3</v>
      </c>
      <c r="X41" s="170" t="s">
        <v>341</v>
      </c>
      <c r="Y41" s="170" t="s">
        <v>1959</v>
      </c>
      <c r="Z41" s="170" t="s">
        <v>1960</v>
      </c>
      <c r="AA41" s="170">
        <v>2.5999999999999999E-2</v>
      </c>
      <c r="AB41" s="170" t="s">
        <v>1961</v>
      </c>
      <c r="AC41" s="171">
        <v>3.0000000000000001E-3</v>
      </c>
    </row>
    <row r="42" spans="2:29" ht="40.200000000000003" thickBot="1" x14ac:dyDescent="0.35">
      <c r="B42" s="165" t="s">
        <v>344</v>
      </c>
      <c r="C42" s="154" t="s">
        <v>723</v>
      </c>
      <c r="D42" s="154" t="s">
        <v>724</v>
      </c>
      <c r="E42" s="155" t="s">
        <v>725</v>
      </c>
      <c r="F42" s="155" t="s">
        <v>726</v>
      </c>
      <c r="G42" s="154" t="s">
        <v>727</v>
      </c>
      <c r="H42" s="154" t="s">
        <v>728</v>
      </c>
      <c r="I42" s="155" t="s">
        <v>729</v>
      </c>
      <c r="J42" s="155" t="s">
        <v>730</v>
      </c>
      <c r="K42" s="154" t="s">
        <v>731</v>
      </c>
      <c r="L42" s="154" t="s">
        <v>732</v>
      </c>
      <c r="M42" s="155" t="s">
        <v>733</v>
      </c>
      <c r="N42" s="155" t="s">
        <v>734</v>
      </c>
      <c r="O42" s="159"/>
      <c r="Q42" s="172" t="s">
        <v>1185</v>
      </c>
      <c r="R42" s="170"/>
      <c r="S42" s="170"/>
      <c r="T42" s="170"/>
      <c r="U42" s="170"/>
      <c r="V42" s="171"/>
      <c r="X42" s="172" t="s">
        <v>1185</v>
      </c>
      <c r="Y42" s="170"/>
      <c r="Z42" s="170"/>
      <c r="AA42" s="170"/>
      <c r="AB42" s="170"/>
      <c r="AC42" s="171"/>
    </row>
    <row r="43" spans="2:29" ht="40.200000000000003" thickBot="1" x14ac:dyDescent="0.35">
      <c r="B43" s="161" t="s">
        <v>345</v>
      </c>
      <c r="C43" s="154" t="s">
        <v>735</v>
      </c>
      <c r="D43" s="154" t="s">
        <v>736</v>
      </c>
      <c r="E43" s="155" t="s">
        <v>737</v>
      </c>
      <c r="F43" s="155" t="s">
        <v>738</v>
      </c>
      <c r="G43" s="154" t="s">
        <v>739</v>
      </c>
      <c r="H43" s="154" t="s">
        <v>740</v>
      </c>
      <c r="I43" s="155" t="s">
        <v>741</v>
      </c>
      <c r="J43" s="155" t="s">
        <v>742</v>
      </c>
      <c r="K43" s="154" t="s">
        <v>743</v>
      </c>
      <c r="L43" s="154" t="s">
        <v>744</v>
      </c>
      <c r="M43" s="155" t="s">
        <v>745</v>
      </c>
      <c r="N43" s="155" t="s">
        <v>746</v>
      </c>
      <c r="O43" s="159"/>
      <c r="Q43" s="170" t="s">
        <v>1186</v>
      </c>
      <c r="R43" s="170" t="s">
        <v>1402</v>
      </c>
      <c r="S43" s="170" t="s">
        <v>1403</v>
      </c>
      <c r="T43" s="170">
        <v>9.8000000000000004E-2</v>
      </c>
      <c r="U43" s="170" t="s">
        <v>1404</v>
      </c>
      <c r="V43" s="171">
        <v>1.6E-2</v>
      </c>
      <c r="X43" s="170" t="s">
        <v>1186</v>
      </c>
      <c r="Y43" s="170" t="s">
        <v>1962</v>
      </c>
      <c r="Z43" s="170" t="s">
        <v>1963</v>
      </c>
      <c r="AA43" s="170">
        <v>0.11899999999999999</v>
      </c>
      <c r="AB43" s="170" t="s">
        <v>1964</v>
      </c>
      <c r="AC43" s="171">
        <v>1.7999999999999999E-2</v>
      </c>
    </row>
    <row r="44" spans="2:29" ht="40.200000000000003" thickBot="1" x14ac:dyDescent="0.35">
      <c r="B44" s="161" t="s">
        <v>346</v>
      </c>
      <c r="C44" s="154" t="s">
        <v>747</v>
      </c>
      <c r="D44" s="154" t="s">
        <v>748</v>
      </c>
      <c r="E44" s="155" t="s">
        <v>749</v>
      </c>
      <c r="F44" s="155" t="s">
        <v>750</v>
      </c>
      <c r="G44" s="154" t="s">
        <v>751</v>
      </c>
      <c r="H44" s="154" t="s">
        <v>752</v>
      </c>
      <c r="I44" s="155" t="s">
        <v>753</v>
      </c>
      <c r="J44" s="155" t="s">
        <v>754</v>
      </c>
      <c r="K44" s="154" t="s">
        <v>755</v>
      </c>
      <c r="L44" s="154" t="s">
        <v>756</v>
      </c>
      <c r="M44" s="155" t="s">
        <v>757</v>
      </c>
      <c r="N44" s="155" t="s">
        <v>758</v>
      </c>
      <c r="O44" s="159"/>
      <c r="Q44" s="170" t="s">
        <v>1190</v>
      </c>
      <c r="R44" s="170" t="s">
        <v>1405</v>
      </c>
      <c r="S44" s="170" t="s">
        <v>1406</v>
      </c>
      <c r="T44" s="170">
        <v>0.14099999999999999</v>
      </c>
      <c r="U44" s="170" t="s">
        <v>1407</v>
      </c>
      <c r="V44" s="171">
        <v>1.6E-2</v>
      </c>
      <c r="X44" s="170" t="s">
        <v>1190</v>
      </c>
      <c r="Y44" s="170" t="s">
        <v>1965</v>
      </c>
      <c r="Z44" s="170" t="s">
        <v>1966</v>
      </c>
      <c r="AA44" s="170">
        <v>7.9000000000000001E-2</v>
      </c>
      <c r="AB44" s="170" t="s">
        <v>1967</v>
      </c>
      <c r="AC44" s="171">
        <v>1.2999999999999999E-2</v>
      </c>
    </row>
    <row r="45" spans="2:29" ht="40.200000000000003" thickBot="1" x14ac:dyDescent="0.35">
      <c r="B45" s="161" t="s">
        <v>347</v>
      </c>
      <c r="C45" s="154" t="s">
        <v>759</v>
      </c>
      <c r="D45" s="154" t="s">
        <v>760</v>
      </c>
      <c r="E45" s="155" t="s">
        <v>761</v>
      </c>
      <c r="F45" s="155" t="s">
        <v>762</v>
      </c>
      <c r="G45" s="154" t="s">
        <v>763</v>
      </c>
      <c r="H45" s="154" t="s">
        <v>764</v>
      </c>
      <c r="I45" s="155" t="s">
        <v>765</v>
      </c>
      <c r="J45" s="155" t="s">
        <v>766</v>
      </c>
      <c r="K45" s="154" t="s">
        <v>767</v>
      </c>
      <c r="L45" s="154" t="s">
        <v>768</v>
      </c>
      <c r="M45" s="155" t="s">
        <v>769</v>
      </c>
      <c r="N45" s="155" t="s">
        <v>770</v>
      </c>
      <c r="O45" s="159"/>
      <c r="Q45" s="170" t="s">
        <v>1194</v>
      </c>
      <c r="R45" s="170" t="s">
        <v>1408</v>
      </c>
      <c r="S45" s="170" t="s">
        <v>1409</v>
      </c>
      <c r="T45" s="170">
        <v>5.3999999999999999E-2</v>
      </c>
      <c r="U45" s="170" t="s">
        <v>1410</v>
      </c>
      <c r="V45" s="171">
        <v>2.4E-2</v>
      </c>
      <c r="X45" s="170" t="s">
        <v>1194</v>
      </c>
      <c r="Y45" s="170" t="s">
        <v>1968</v>
      </c>
      <c r="Z45" s="170" t="s">
        <v>1969</v>
      </c>
      <c r="AA45" s="170">
        <v>1.7000000000000001E-2</v>
      </c>
      <c r="AB45" s="170" t="s">
        <v>1970</v>
      </c>
      <c r="AC45" s="171">
        <v>2.3E-2</v>
      </c>
    </row>
    <row r="46" spans="2:29" ht="27" thickBot="1" x14ac:dyDescent="0.35">
      <c r="B46" s="161" t="s">
        <v>771</v>
      </c>
      <c r="C46" s="166"/>
      <c r="D46" s="166"/>
      <c r="E46" s="163"/>
      <c r="F46" s="163"/>
      <c r="G46" s="162"/>
      <c r="H46" s="166"/>
      <c r="I46" s="163"/>
      <c r="J46" s="163"/>
      <c r="K46" s="162"/>
      <c r="L46" s="162"/>
      <c r="M46" s="163"/>
      <c r="N46" s="163"/>
      <c r="O46" s="159"/>
      <c r="Q46" s="170"/>
      <c r="R46" s="170"/>
      <c r="S46" s="170"/>
      <c r="T46" s="170"/>
      <c r="U46" s="170"/>
      <c r="V46" s="171"/>
      <c r="X46" s="170" t="s">
        <v>347</v>
      </c>
      <c r="Y46" s="170" t="s">
        <v>1971</v>
      </c>
      <c r="Z46" s="170" t="s">
        <v>1972</v>
      </c>
      <c r="AA46" s="170">
        <v>5.6000000000000001E-2</v>
      </c>
      <c r="AB46" s="170" t="s">
        <v>1973</v>
      </c>
      <c r="AC46" s="171">
        <v>1E-3</v>
      </c>
    </row>
    <row r="47" spans="2:29" ht="93" thickBot="1" x14ac:dyDescent="0.35">
      <c r="B47" s="161" t="s">
        <v>349</v>
      </c>
      <c r="C47" s="154" t="s">
        <v>772</v>
      </c>
      <c r="D47" s="154" t="s">
        <v>773</v>
      </c>
      <c r="E47" s="155" t="s">
        <v>774</v>
      </c>
      <c r="F47" s="155" t="s">
        <v>775</v>
      </c>
      <c r="G47" s="154" t="s">
        <v>776</v>
      </c>
      <c r="H47" s="154" t="s">
        <v>777</v>
      </c>
      <c r="I47" s="155" t="s">
        <v>778</v>
      </c>
      <c r="J47" s="155" t="s">
        <v>779</v>
      </c>
      <c r="K47" s="154" t="s">
        <v>780</v>
      </c>
      <c r="L47" s="154" t="s">
        <v>781</v>
      </c>
      <c r="M47" s="155" t="s">
        <v>782</v>
      </c>
      <c r="N47" s="155" t="s">
        <v>781</v>
      </c>
      <c r="O47" s="159"/>
      <c r="Q47" s="170" t="s">
        <v>347</v>
      </c>
      <c r="R47" s="170" t="s">
        <v>1411</v>
      </c>
      <c r="S47" s="170" t="s">
        <v>1412</v>
      </c>
      <c r="T47" s="170">
        <v>4.2999999999999997E-2</v>
      </c>
      <c r="U47" s="170" t="s">
        <v>1413</v>
      </c>
      <c r="V47" s="171">
        <v>0</v>
      </c>
      <c r="X47" s="170" t="s">
        <v>1201</v>
      </c>
      <c r="Y47" s="170" t="s">
        <v>1974</v>
      </c>
      <c r="Z47" s="170" t="s">
        <v>1975</v>
      </c>
      <c r="AA47" s="170">
        <v>1.7000000000000001E-2</v>
      </c>
      <c r="AB47" s="170" t="s">
        <v>1976</v>
      </c>
      <c r="AC47" s="171">
        <v>5.0000000000000001E-3</v>
      </c>
    </row>
    <row r="48" spans="2:29" ht="93" thickBot="1" x14ac:dyDescent="0.35">
      <c r="B48" s="161" t="s">
        <v>350</v>
      </c>
      <c r="C48" s="154" t="s">
        <v>783</v>
      </c>
      <c r="D48" s="154" t="s">
        <v>784</v>
      </c>
      <c r="E48" s="155" t="s">
        <v>785</v>
      </c>
      <c r="F48" s="155" t="s">
        <v>786</v>
      </c>
      <c r="G48" s="154" t="s">
        <v>787</v>
      </c>
      <c r="H48" s="154" t="s">
        <v>788</v>
      </c>
      <c r="I48" s="155" t="s">
        <v>789</v>
      </c>
      <c r="J48" s="155" t="s">
        <v>790</v>
      </c>
      <c r="K48" s="154" t="s">
        <v>791</v>
      </c>
      <c r="L48" s="154" t="s">
        <v>792</v>
      </c>
      <c r="M48" s="155" t="s">
        <v>793</v>
      </c>
      <c r="N48" s="155" t="s">
        <v>794</v>
      </c>
      <c r="O48" s="159"/>
      <c r="Q48" s="170" t="s">
        <v>1201</v>
      </c>
      <c r="R48" s="170" t="s">
        <v>1414</v>
      </c>
      <c r="S48" s="170" t="s">
        <v>1415</v>
      </c>
      <c r="T48" s="170">
        <v>1.4999999999999999E-2</v>
      </c>
      <c r="U48" s="170" t="s">
        <v>1416</v>
      </c>
      <c r="V48" s="171">
        <v>6.0000000000000001E-3</v>
      </c>
      <c r="X48" s="170" t="s">
        <v>1205</v>
      </c>
      <c r="Y48" s="170" t="s">
        <v>1977</v>
      </c>
      <c r="Z48" s="170" t="s">
        <v>1978</v>
      </c>
      <c r="AA48" s="170">
        <v>2.5999999999999999E-2</v>
      </c>
      <c r="AB48" s="170" t="s">
        <v>1979</v>
      </c>
      <c r="AC48" s="171">
        <v>2E-3</v>
      </c>
    </row>
    <row r="49" spans="2:29" ht="106.2" thickBot="1" x14ac:dyDescent="0.35">
      <c r="B49" s="161" t="s">
        <v>351</v>
      </c>
      <c r="C49" s="154" t="s">
        <v>795</v>
      </c>
      <c r="D49" s="154" t="s">
        <v>796</v>
      </c>
      <c r="E49" s="155" t="s">
        <v>797</v>
      </c>
      <c r="F49" s="155" t="s">
        <v>798</v>
      </c>
      <c r="G49" s="154" t="s">
        <v>799</v>
      </c>
      <c r="H49" s="154" t="s">
        <v>800</v>
      </c>
      <c r="I49" s="155" t="s">
        <v>801</v>
      </c>
      <c r="J49" s="155" t="s">
        <v>802</v>
      </c>
      <c r="K49" s="154" t="s">
        <v>803</v>
      </c>
      <c r="L49" s="154" t="s">
        <v>804</v>
      </c>
      <c r="M49" s="155" t="s">
        <v>805</v>
      </c>
      <c r="N49" s="155" t="s">
        <v>806</v>
      </c>
      <c r="O49" s="159"/>
      <c r="Q49" s="170" t="s">
        <v>1205</v>
      </c>
      <c r="R49" s="170" t="s">
        <v>1417</v>
      </c>
      <c r="S49" s="170" t="s">
        <v>1418</v>
      </c>
      <c r="T49" s="170">
        <v>2.1000000000000001E-2</v>
      </c>
      <c r="U49" s="170" t="s">
        <v>1419</v>
      </c>
      <c r="V49" s="171">
        <v>5.0000000000000001E-3</v>
      </c>
      <c r="X49" s="170" t="s">
        <v>1209</v>
      </c>
      <c r="Y49" s="170" t="s">
        <v>1980</v>
      </c>
      <c r="Z49" s="170" t="s">
        <v>1981</v>
      </c>
      <c r="AA49" s="170">
        <v>0.22600000000000001</v>
      </c>
      <c r="AB49" s="170" t="s">
        <v>1982</v>
      </c>
      <c r="AC49" s="171">
        <v>2.1999999999999999E-2</v>
      </c>
    </row>
    <row r="50" spans="2:29" ht="119.4" thickBot="1" x14ac:dyDescent="0.35">
      <c r="B50" s="161" t="s">
        <v>352</v>
      </c>
      <c r="C50" s="154" t="s">
        <v>807</v>
      </c>
      <c r="D50" s="154" t="s">
        <v>808</v>
      </c>
      <c r="E50" s="155" t="s">
        <v>809</v>
      </c>
      <c r="F50" s="155" t="s">
        <v>810</v>
      </c>
      <c r="G50" s="154" t="s">
        <v>811</v>
      </c>
      <c r="H50" s="154" t="s">
        <v>812</v>
      </c>
      <c r="I50" s="155" t="s">
        <v>813</v>
      </c>
      <c r="J50" s="155" t="s">
        <v>814</v>
      </c>
      <c r="K50" s="154" t="s">
        <v>815</v>
      </c>
      <c r="L50" s="154" t="s">
        <v>816</v>
      </c>
      <c r="M50" s="155" t="s">
        <v>817</v>
      </c>
      <c r="N50" s="155" t="s">
        <v>818</v>
      </c>
      <c r="O50" s="159"/>
      <c r="Q50" s="170" t="s">
        <v>1209</v>
      </c>
      <c r="R50" s="170" t="s">
        <v>1420</v>
      </c>
      <c r="S50" s="170" t="s">
        <v>1421</v>
      </c>
      <c r="T50" s="170">
        <v>0.19400000000000001</v>
      </c>
      <c r="U50" s="170" t="s">
        <v>1422</v>
      </c>
      <c r="V50" s="171">
        <v>2.1000000000000001E-2</v>
      </c>
      <c r="X50" s="170" t="s">
        <v>1213</v>
      </c>
      <c r="Y50" s="170" t="s">
        <v>1983</v>
      </c>
      <c r="Z50" s="170" t="s">
        <v>1984</v>
      </c>
      <c r="AA50" s="170">
        <v>5.0000000000000001E-3</v>
      </c>
      <c r="AB50" s="170" t="s">
        <v>1985</v>
      </c>
      <c r="AC50" s="171">
        <v>5.0000000000000001E-3</v>
      </c>
    </row>
    <row r="51" spans="2:29" ht="119.4" thickBot="1" x14ac:dyDescent="0.35">
      <c r="B51" s="161" t="s">
        <v>353</v>
      </c>
      <c r="C51" s="154" t="s">
        <v>819</v>
      </c>
      <c r="D51" s="154" t="s">
        <v>820</v>
      </c>
      <c r="E51" s="155" t="s">
        <v>821</v>
      </c>
      <c r="F51" s="155" t="s">
        <v>822</v>
      </c>
      <c r="G51" s="154" t="s">
        <v>823</v>
      </c>
      <c r="H51" s="154" t="s">
        <v>824</v>
      </c>
      <c r="I51" s="155" t="s">
        <v>825</v>
      </c>
      <c r="J51" s="155" t="s">
        <v>826</v>
      </c>
      <c r="K51" s="154" t="s">
        <v>827</v>
      </c>
      <c r="L51" s="154" t="s">
        <v>828</v>
      </c>
      <c r="M51" s="155" t="s">
        <v>829</v>
      </c>
      <c r="N51" s="155" t="s">
        <v>830</v>
      </c>
      <c r="O51" s="159"/>
      <c r="Q51" s="170" t="s">
        <v>1213</v>
      </c>
      <c r="R51" s="170" t="s">
        <v>1423</v>
      </c>
      <c r="S51" s="170" t="s">
        <v>1424</v>
      </c>
      <c r="T51" s="170">
        <v>8.9999999999999993E-3</v>
      </c>
      <c r="U51" s="170" t="s">
        <v>1425</v>
      </c>
      <c r="V51" s="171">
        <v>5.0000000000000001E-3</v>
      </c>
      <c r="X51" s="170" t="s">
        <v>1217</v>
      </c>
      <c r="Y51" s="170" t="s">
        <v>1986</v>
      </c>
      <c r="Z51" s="170" t="s">
        <v>1987</v>
      </c>
      <c r="AA51" s="170">
        <v>1E-3</v>
      </c>
      <c r="AB51" s="170" t="s">
        <v>1988</v>
      </c>
      <c r="AC51" s="171">
        <v>2E-3</v>
      </c>
    </row>
    <row r="52" spans="2:29" ht="106.2" thickBot="1" x14ac:dyDescent="0.35">
      <c r="B52" s="161" t="s">
        <v>354</v>
      </c>
      <c r="C52" s="154" t="s">
        <v>831</v>
      </c>
      <c r="D52" s="154" t="s">
        <v>832</v>
      </c>
      <c r="E52" s="155" t="s">
        <v>833</v>
      </c>
      <c r="F52" s="155" t="s">
        <v>834</v>
      </c>
      <c r="G52" s="154" t="s">
        <v>835</v>
      </c>
      <c r="H52" s="154" t="s">
        <v>836</v>
      </c>
      <c r="I52" s="155" t="s">
        <v>837</v>
      </c>
      <c r="J52" s="155" t="s">
        <v>838</v>
      </c>
      <c r="K52" s="154" t="s">
        <v>839</v>
      </c>
      <c r="L52" s="154" t="s">
        <v>840</v>
      </c>
      <c r="M52" s="155" t="s">
        <v>841</v>
      </c>
      <c r="N52" s="155" t="s">
        <v>842</v>
      </c>
      <c r="O52" s="159"/>
      <c r="Q52" s="170" t="s">
        <v>1217</v>
      </c>
      <c r="R52" s="170" t="s">
        <v>1426</v>
      </c>
      <c r="S52" s="170" t="s">
        <v>1427</v>
      </c>
      <c r="T52" s="170">
        <v>1E-3</v>
      </c>
      <c r="U52" s="170" t="s">
        <v>1428</v>
      </c>
      <c r="V52" s="171">
        <v>2E-3</v>
      </c>
      <c r="X52" s="170" t="s">
        <v>1221</v>
      </c>
      <c r="Y52" s="170" t="s">
        <v>1989</v>
      </c>
      <c r="Z52" s="170" t="s">
        <v>1990</v>
      </c>
      <c r="AA52" s="170">
        <v>5.0000000000000001E-3</v>
      </c>
      <c r="AB52" s="170" t="s">
        <v>1991</v>
      </c>
      <c r="AC52" s="171">
        <v>0</v>
      </c>
    </row>
    <row r="53" spans="2:29" ht="132.6" thickBot="1" x14ac:dyDescent="0.35">
      <c r="B53" s="161" t="s">
        <v>355</v>
      </c>
      <c r="C53" s="166"/>
      <c r="D53" s="166"/>
      <c r="E53" s="167"/>
      <c r="F53" s="167"/>
      <c r="G53" s="162"/>
      <c r="H53" s="166"/>
      <c r="I53" s="167"/>
      <c r="J53" s="167"/>
      <c r="K53" s="162"/>
      <c r="L53" s="162"/>
      <c r="M53" s="167"/>
      <c r="N53" s="167"/>
      <c r="O53" s="159"/>
      <c r="Q53" s="170" t="s">
        <v>1221</v>
      </c>
      <c r="R53" s="170" t="s">
        <v>1429</v>
      </c>
      <c r="S53" s="170" t="s">
        <v>1430</v>
      </c>
      <c r="T53" s="170">
        <v>1E-3</v>
      </c>
      <c r="U53" s="170" t="s">
        <v>1431</v>
      </c>
      <c r="V53" s="171">
        <v>2E-3</v>
      </c>
      <c r="X53" s="170" t="s">
        <v>1225</v>
      </c>
      <c r="Y53" s="170" t="s">
        <v>1992</v>
      </c>
      <c r="Z53" s="170" t="s">
        <v>1993</v>
      </c>
      <c r="AA53" s="170">
        <v>4.2999999999999997E-2</v>
      </c>
      <c r="AB53" s="170" t="s">
        <v>1994</v>
      </c>
      <c r="AC53" s="171">
        <v>3.0000000000000001E-3</v>
      </c>
    </row>
    <row r="54" spans="2:29" ht="145.80000000000001" thickBot="1" x14ac:dyDescent="0.35">
      <c r="B54" s="161" t="s">
        <v>356</v>
      </c>
      <c r="C54" s="154" t="s">
        <v>843</v>
      </c>
      <c r="D54" s="154" t="s">
        <v>844</v>
      </c>
      <c r="E54" s="155" t="s">
        <v>845</v>
      </c>
      <c r="F54" s="155" t="s">
        <v>846</v>
      </c>
      <c r="G54" s="154" t="s">
        <v>847</v>
      </c>
      <c r="H54" s="154" t="s">
        <v>848</v>
      </c>
      <c r="I54" s="155" t="s">
        <v>849</v>
      </c>
      <c r="J54" s="155" t="s">
        <v>850</v>
      </c>
      <c r="K54" s="154" t="s">
        <v>851</v>
      </c>
      <c r="L54" s="154" t="s">
        <v>852</v>
      </c>
      <c r="M54" s="155" t="s">
        <v>853</v>
      </c>
      <c r="N54" s="155" t="s">
        <v>854</v>
      </c>
      <c r="O54" s="159"/>
      <c r="Q54" s="170"/>
      <c r="R54" s="170"/>
      <c r="S54" s="170"/>
      <c r="T54" s="170"/>
      <c r="U54" s="170"/>
      <c r="V54" s="171"/>
      <c r="X54" s="170" t="s">
        <v>1229</v>
      </c>
      <c r="Y54" s="170" t="s">
        <v>855</v>
      </c>
      <c r="Z54" s="170" t="s">
        <v>1995</v>
      </c>
      <c r="AA54" s="170">
        <v>0.18099999999999999</v>
      </c>
      <c r="AB54" s="170" t="s">
        <v>1996</v>
      </c>
      <c r="AC54" s="171">
        <v>0.26200000000000001</v>
      </c>
    </row>
    <row r="55" spans="2:29" ht="132.6" thickBot="1" x14ac:dyDescent="0.35">
      <c r="B55" s="161" t="s">
        <v>325</v>
      </c>
      <c r="C55" s="154" t="s">
        <v>855</v>
      </c>
      <c r="D55" s="154" t="s">
        <v>856</v>
      </c>
      <c r="E55" s="155" t="s">
        <v>855</v>
      </c>
      <c r="F55" s="155" t="s">
        <v>857</v>
      </c>
      <c r="G55" s="154" t="s">
        <v>855</v>
      </c>
      <c r="H55" s="154" t="s">
        <v>858</v>
      </c>
      <c r="I55" s="155" t="s">
        <v>855</v>
      </c>
      <c r="J55" s="155" t="s">
        <v>859</v>
      </c>
      <c r="K55" s="154" t="s">
        <v>855</v>
      </c>
      <c r="L55" s="154" t="s">
        <v>860</v>
      </c>
      <c r="M55" s="155" t="s">
        <v>855</v>
      </c>
      <c r="N55" s="155" t="s">
        <v>861</v>
      </c>
      <c r="O55" s="159"/>
      <c r="Q55" s="170" t="s">
        <v>1225</v>
      </c>
      <c r="R55" s="170" t="s">
        <v>1432</v>
      </c>
      <c r="S55" s="170" t="s">
        <v>1433</v>
      </c>
      <c r="T55" s="170">
        <v>4.4999999999999998E-2</v>
      </c>
      <c r="U55" s="170" t="s">
        <v>1434</v>
      </c>
      <c r="V55" s="171">
        <v>0.01</v>
      </c>
      <c r="X55" s="170" t="s">
        <v>1232</v>
      </c>
      <c r="Y55" s="170" t="s">
        <v>1997</v>
      </c>
      <c r="Z55" s="170" t="s">
        <v>1998</v>
      </c>
      <c r="AA55" s="170">
        <v>0.19400000000000001</v>
      </c>
      <c r="AB55" s="170" t="s">
        <v>1999</v>
      </c>
      <c r="AC55" s="171">
        <v>3.0000000000000001E-3</v>
      </c>
    </row>
    <row r="56" spans="2:29" ht="145.80000000000001" thickBot="1" x14ac:dyDescent="0.35">
      <c r="B56" s="161" t="s">
        <v>357</v>
      </c>
      <c r="C56" s="154" t="s">
        <v>862</v>
      </c>
      <c r="D56" s="154" t="s">
        <v>863</v>
      </c>
      <c r="E56" s="155" t="s">
        <v>864</v>
      </c>
      <c r="F56" s="155" t="s">
        <v>865</v>
      </c>
      <c r="G56" s="154" t="s">
        <v>866</v>
      </c>
      <c r="H56" s="154" t="s">
        <v>867</v>
      </c>
      <c r="I56" s="155" t="s">
        <v>868</v>
      </c>
      <c r="J56" s="155" t="s">
        <v>869</v>
      </c>
      <c r="K56" s="154" t="s">
        <v>870</v>
      </c>
      <c r="L56" s="154" t="s">
        <v>855</v>
      </c>
      <c r="M56" s="155" t="s">
        <v>871</v>
      </c>
      <c r="N56" s="155" t="s">
        <v>855</v>
      </c>
      <c r="O56" s="159"/>
      <c r="Q56" s="170" t="s">
        <v>1229</v>
      </c>
      <c r="R56" s="170" t="s">
        <v>855</v>
      </c>
      <c r="S56" s="170" t="s">
        <v>1435</v>
      </c>
      <c r="T56" s="170">
        <v>0.17899999999999999</v>
      </c>
      <c r="U56" s="170" t="s">
        <v>1436</v>
      </c>
      <c r="V56" s="171">
        <v>0.26500000000000001</v>
      </c>
      <c r="X56" s="170" t="s">
        <v>1236</v>
      </c>
      <c r="Y56" s="170" t="s">
        <v>2000</v>
      </c>
      <c r="Z56" s="170" t="s">
        <v>2001</v>
      </c>
      <c r="AA56" s="170">
        <v>0.159</v>
      </c>
      <c r="AB56" s="170" t="s">
        <v>2002</v>
      </c>
      <c r="AC56" s="171">
        <v>8.8999999999999996E-2</v>
      </c>
    </row>
    <row r="57" spans="2:29" ht="132.6" thickBot="1" x14ac:dyDescent="0.35">
      <c r="B57" s="161" t="s">
        <v>358</v>
      </c>
      <c r="C57" s="154" t="s">
        <v>872</v>
      </c>
      <c r="D57" s="154" t="s">
        <v>873</v>
      </c>
      <c r="E57" s="155" t="s">
        <v>874</v>
      </c>
      <c r="F57" s="155" t="s">
        <v>875</v>
      </c>
      <c r="G57" s="154" t="s">
        <v>876</v>
      </c>
      <c r="H57" s="154" t="s">
        <v>877</v>
      </c>
      <c r="I57" s="155" t="s">
        <v>878</v>
      </c>
      <c r="J57" s="155" t="s">
        <v>879</v>
      </c>
      <c r="K57" s="154" t="s">
        <v>880</v>
      </c>
      <c r="L57" s="154" t="s">
        <v>881</v>
      </c>
      <c r="M57" s="155" t="s">
        <v>882</v>
      </c>
      <c r="N57" s="155" t="s">
        <v>883</v>
      </c>
      <c r="O57" s="159"/>
      <c r="Q57" s="170" t="s">
        <v>1232</v>
      </c>
      <c r="R57" s="170" t="s">
        <v>1437</v>
      </c>
      <c r="S57" s="170" t="s">
        <v>1438</v>
      </c>
      <c r="T57" s="170">
        <v>0.221</v>
      </c>
      <c r="U57" s="170" t="s">
        <v>1439</v>
      </c>
      <c r="V57" s="171">
        <v>2E-3</v>
      </c>
      <c r="X57" s="170" t="s">
        <v>1240</v>
      </c>
      <c r="Y57" s="170" t="s">
        <v>2003</v>
      </c>
      <c r="Z57" s="170" t="s">
        <v>2004</v>
      </c>
      <c r="AA57" s="170">
        <v>1.014</v>
      </c>
      <c r="AB57" s="170" t="s">
        <v>2005</v>
      </c>
      <c r="AC57" s="171">
        <v>1.0289999999999999</v>
      </c>
    </row>
    <row r="58" spans="2:29" ht="145.80000000000001" thickBot="1" x14ac:dyDescent="0.35">
      <c r="B58" s="161" t="s">
        <v>359</v>
      </c>
      <c r="C58" s="154" t="s">
        <v>884</v>
      </c>
      <c r="D58" s="154" t="s">
        <v>885</v>
      </c>
      <c r="E58" s="155" t="s">
        <v>886</v>
      </c>
      <c r="F58" s="155" t="s">
        <v>887</v>
      </c>
      <c r="G58" s="154" t="s">
        <v>888</v>
      </c>
      <c r="H58" s="154" t="s">
        <v>889</v>
      </c>
      <c r="I58" s="155" t="s">
        <v>890</v>
      </c>
      <c r="J58" s="155" t="s">
        <v>891</v>
      </c>
      <c r="K58" s="154" t="s">
        <v>892</v>
      </c>
      <c r="L58" s="154" t="s">
        <v>893</v>
      </c>
      <c r="M58" s="155" t="s">
        <v>894</v>
      </c>
      <c r="N58" s="155" t="s">
        <v>895</v>
      </c>
      <c r="O58" s="159"/>
      <c r="Q58" s="170" t="s">
        <v>1236</v>
      </c>
      <c r="R58" s="170" t="s">
        <v>1440</v>
      </c>
      <c r="S58" s="170" t="s">
        <v>1441</v>
      </c>
      <c r="T58" s="170">
        <v>0.10299999999999999</v>
      </c>
      <c r="U58" s="170" t="s">
        <v>1442</v>
      </c>
      <c r="V58" s="171">
        <v>4.4999999999999998E-2</v>
      </c>
      <c r="X58" s="170" t="s">
        <v>1244</v>
      </c>
      <c r="Y58" s="170" t="s">
        <v>2006</v>
      </c>
      <c r="Z58" s="170" t="s">
        <v>2007</v>
      </c>
      <c r="AA58" s="170">
        <v>0.39</v>
      </c>
      <c r="AB58" s="170" t="s">
        <v>2008</v>
      </c>
      <c r="AC58" s="171">
        <v>1.2999999999999999E-2</v>
      </c>
    </row>
    <row r="59" spans="2:29" ht="132.6" thickBot="1" x14ac:dyDescent="0.35">
      <c r="B59" s="161" t="s">
        <v>360</v>
      </c>
      <c r="C59" s="154" t="s">
        <v>896</v>
      </c>
      <c r="D59" s="154" t="s">
        <v>897</v>
      </c>
      <c r="E59" s="155" t="s">
        <v>898</v>
      </c>
      <c r="F59" s="155" t="s">
        <v>899</v>
      </c>
      <c r="G59" s="154" t="s">
        <v>900</v>
      </c>
      <c r="H59" s="154" t="s">
        <v>901</v>
      </c>
      <c r="I59" s="155" t="s">
        <v>902</v>
      </c>
      <c r="J59" s="155" t="s">
        <v>903</v>
      </c>
      <c r="K59" s="154" t="s">
        <v>904</v>
      </c>
      <c r="L59" s="154" t="s">
        <v>905</v>
      </c>
      <c r="M59" s="155" t="s">
        <v>906</v>
      </c>
      <c r="N59" s="155" t="s">
        <v>907</v>
      </c>
      <c r="O59" s="159"/>
      <c r="Q59" s="170" t="s">
        <v>1240</v>
      </c>
      <c r="R59" s="170" t="s">
        <v>1443</v>
      </c>
      <c r="S59" s="170" t="s">
        <v>1444</v>
      </c>
      <c r="T59" s="170">
        <v>0.33500000000000002</v>
      </c>
      <c r="U59" s="170" t="s">
        <v>1445</v>
      </c>
      <c r="V59" s="171">
        <v>0.35499999999999998</v>
      </c>
      <c r="X59" s="170" t="s">
        <v>1248</v>
      </c>
      <c r="Y59" s="170" t="s">
        <v>2009</v>
      </c>
      <c r="Z59" s="170" t="s">
        <v>2010</v>
      </c>
      <c r="AA59" s="170">
        <v>9.6000000000000002E-2</v>
      </c>
      <c r="AB59" s="170" t="s">
        <v>2011</v>
      </c>
      <c r="AC59" s="171">
        <v>2E-3</v>
      </c>
    </row>
    <row r="60" spans="2:29" ht="106.2" thickBot="1" x14ac:dyDescent="0.35">
      <c r="B60" s="161" t="s">
        <v>361</v>
      </c>
      <c r="C60" s="154" t="s">
        <v>908</v>
      </c>
      <c r="D60" s="154" t="s">
        <v>909</v>
      </c>
      <c r="E60" s="155" t="s">
        <v>910</v>
      </c>
      <c r="F60" s="155" t="s">
        <v>911</v>
      </c>
      <c r="G60" s="154" t="s">
        <v>912</v>
      </c>
      <c r="H60" s="154" t="s">
        <v>913</v>
      </c>
      <c r="I60" s="155" t="s">
        <v>914</v>
      </c>
      <c r="J60" s="155" t="s">
        <v>915</v>
      </c>
      <c r="K60" s="154" t="s">
        <v>916</v>
      </c>
      <c r="L60" s="154" t="s">
        <v>917</v>
      </c>
      <c r="M60" s="155" t="s">
        <v>918</v>
      </c>
      <c r="N60" s="155" t="s">
        <v>919</v>
      </c>
      <c r="O60" s="159"/>
      <c r="Q60" s="170" t="s">
        <v>1244</v>
      </c>
      <c r="R60" s="170" t="s">
        <v>1446</v>
      </c>
      <c r="S60" s="170" t="s">
        <v>1447</v>
      </c>
      <c r="T60" s="170">
        <v>0.35199999999999998</v>
      </c>
      <c r="U60" s="170" t="s">
        <v>1448</v>
      </c>
      <c r="V60" s="171">
        <v>1.2E-2</v>
      </c>
      <c r="X60" s="170" t="s">
        <v>1252</v>
      </c>
      <c r="Y60" s="170" t="s">
        <v>2012</v>
      </c>
      <c r="Z60" s="170" t="s">
        <v>2013</v>
      </c>
      <c r="AA60" s="170">
        <v>2.9000000000000001E-2</v>
      </c>
      <c r="AB60" s="170" t="s">
        <v>2014</v>
      </c>
      <c r="AC60" s="171">
        <v>1E-3</v>
      </c>
    </row>
    <row r="61" spans="2:29" ht="106.2" thickBot="1" x14ac:dyDescent="0.35">
      <c r="B61" s="161" t="s">
        <v>362</v>
      </c>
      <c r="C61" s="154" t="s">
        <v>920</v>
      </c>
      <c r="D61" s="154" t="s">
        <v>921</v>
      </c>
      <c r="E61" s="155" t="s">
        <v>922</v>
      </c>
      <c r="F61" s="155" t="s">
        <v>923</v>
      </c>
      <c r="G61" s="154" t="s">
        <v>924</v>
      </c>
      <c r="H61" s="154" t="s">
        <v>925</v>
      </c>
      <c r="I61" s="155" t="s">
        <v>926</v>
      </c>
      <c r="J61" s="155" t="s">
        <v>927</v>
      </c>
      <c r="K61" s="154" t="s">
        <v>928</v>
      </c>
      <c r="L61" s="154" t="s">
        <v>929</v>
      </c>
      <c r="M61" s="155" t="s">
        <v>930</v>
      </c>
      <c r="N61" s="155" t="s">
        <v>931</v>
      </c>
      <c r="O61" s="159"/>
      <c r="Q61" s="170" t="s">
        <v>1248</v>
      </c>
      <c r="R61" s="170" t="s">
        <v>1449</v>
      </c>
      <c r="S61" s="170" t="s">
        <v>1450</v>
      </c>
      <c r="T61" s="170">
        <v>0.13700000000000001</v>
      </c>
      <c r="U61" s="170" t="s">
        <v>1451</v>
      </c>
      <c r="V61" s="171">
        <v>0.01</v>
      </c>
      <c r="X61" s="170" t="s">
        <v>1256</v>
      </c>
      <c r="Y61" s="170" t="s">
        <v>2015</v>
      </c>
      <c r="Z61" s="170" t="s">
        <v>1484</v>
      </c>
      <c r="AA61" s="170">
        <v>1.7000000000000001E-2</v>
      </c>
      <c r="AB61" s="170" t="s">
        <v>2016</v>
      </c>
      <c r="AC61" s="171">
        <v>2E-3</v>
      </c>
    </row>
    <row r="62" spans="2:29" ht="145.80000000000001" thickBot="1" x14ac:dyDescent="0.35">
      <c r="B62" s="161" t="s">
        <v>363</v>
      </c>
      <c r="C62" s="154" t="s">
        <v>932</v>
      </c>
      <c r="D62" s="154" t="s">
        <v>933</v>
      </c>
      <c r="E62" s="155" t="s">
        <v>934</v>
      </c>
      <c r="F62" s="155" t="s">
        <v>935</v>
      </c>
      <c r="G62" s="154" t="s">
        <v>936</v>
      </c>
      <c r="H62" s="154" t="s">
        <v>937</v>
      </c>
      <c r="I62" s="155" t="s">
        <v>938</v>
      </c>
      <c r="J62" s="155" t="s">
        <v>939</v>
      </c>
      <c r="K62" s="154" t="s">
        <v>940</v>
      </c>
      <c r="L62" s="154" t="s">
        <v>941</v>
      </c>
      <c r="M62" s="155" t="s">
        <v>942</v>
      </c>
      <c r="N62" s="155" t="s">
        <v>943</v>
      </c>
      <c r="O62" s="159"/>
      <c r="Q62" s="170" t="s">
        <v>1252</v>
      </c>
      <c r="R62" s="170" t="s">
        <v>1452</v>
      </c>
      <c r="S62" s="170" t="s">
        <v>1453</v>
      </c>
      <c r="T62" s="170">
        <v>3.4000000000000002E-2</v>
      </c>
      <c r="U62" s="170" t="s">
        <v>1454</v>
      </c>
      <c r="V62" s="171">
        <v>4.0000000000000001E-3</v>
      </c>
      <c r="X62" s="170" t="s">
        <v>1260</v>
      </c>
      <c r="Y62" s="170" t="s">
        <v>946</v>
      </c>
      <c r="Z62" s="170" t="s">
        <v>945</v>
      </c>
      <c r="AA62" s="170">
        <v>2.9000000000000001E-2</v>
      </c>
      <c r="AB62" s="170" t="s">
        <v>2017</v>
      </c>
      <c r="AC62" s="171">
        <v>8.9999999999999993E-3</v>
      </c>
    </row>
    <row r="63" spans="2:29" ht="145.80000000000001" thickBot="1" x14ac:dyDescent="0.35">
      <c r="B63" s="161" t="s">
        <v>364</v>
      </c>
      <c r="C63" s="154" t="s">
        <v>944</v>
      </c>
      <c r="D63" s="154" t="s">
        <v>945</v>
      </c>
      <c r="E63" s="155" t="s">
        <v>946</v>
      </c>
      <c r="F63" s="155" t="s">
        <v>945</v>
      </c>
      <c r="G63" s="154" t="s">
        <v>947</v>
      </c>
      <c r="H63" s="154" t="s">
        <v>948</v>
      </c>
      <c r="I63" s="155" t="s">
        <v>949</v>
      </c>
      <c r="J63" s="155" t="s">
        <v>950</v>
      </c>
      <c r="K63" s="154" t="s">
        <v>951</v>
      </c>
      <c r="L63" s="154" t="s">
        <v>952</v>
      </c>
      <c r="M63" s="155" t="s">
        <v>953</v>
      </c>
      <c r="N63" s="155" t="s">
        <v>954</v>
      </c>
      <c r="O63" s="159"/>
      <c r="Q63" s="170" t="s">
        <v>1256</v>
      </c>
      <c r="R63" s="170" t="s">
        <v>1455</v>
      </c>
      <c r="S63" s="170" t="s">
        <v>1456</v>
      </c>
      <c r="T63" s="170">
        <v>1.7999999999999999E-2</v>
      </c>
      <c r="U63" s="170" t="s">
        <v>1457</v>
      </c>
      <c r="V63" s="171">
        <v>0</v>
      </c>
      <c r="X63" s="170" t="s">
        <v>1264</v>
      </c>
      <c r="Y63" s="170" t="s">
        <v>2018</v>
      </c>
      <c r="Z63" s="170" t="s">
        <v>2019</v>
      </c>
      <c r="AA63" s="170">
        <v>1.0999999999999999E-2</v>
      </c>
      <c r="AB63" s="170" t="s">
        <v>2020</v>
      </c>
      <c r="AC63" s="171">
        <v>4.0000000000000001E-3</v>
      </c>
    </row>
    <row r="64" spans="2:29" ht="145.80000000000001" thickBot="1" x14ac:dyDescent="0.35">
      <c r="B64" s="161" t="s">
        <v>365</v>
      </c>
      <c r="C64" s="154" t="s">
        <v>955</v>
      </c>
      <c r="D64" s="154" t="s">
        <v>956</v>
      </c>
      <c r="E64" s="155" t="s">
        <v>957</v>
      </c>
      <c r="F64" s="155" t="s">
        <v>958</v>
      </c>
      <c r="G64" s="154" t="s">
        <v>959</v>
      </c>
      <c r="H64" s="154" t="s">
        <v>960</v>
      </c>
      <c r="I64" s="155" t="s">
        <v>961</v>
      </c>
      <c r="J64" s="155" t="s">
        <v>962</v>
      </c>
      <c r="K64" s="154" t="s">
        <v>963</v>
      </c>
      <c r="L64" s="154" t="s">
        <v>964</v>
      </c>
      <c r="M64" s="155" t="s">
        <v>965</v>
      </c>
      <c r="N64" s="155" t="s">
        <v>966</v>
      </c>
      <c r="O64" s="159"/>
      <c r="Q64" s="170" t="s">
        <v>1260</v>
      </c>
      <c r="R64" s="170" t="s">
        <v>944</v>
      </c>
      <c r="S64" s="170" t="s">
        <v>945</v>
      </c>
      <c r="T64" s="170">
        <v>0.01</v>
      </c>
      <c r="U64" s="170" t="s">
        <v>1458</v>
      </c>
      <c r="V64" s="171">
        <v>4.0000000000000001E-3</v>
      </c>
      <c r="X64" s="170" t="s">
        <v>1268</v>
      </c>
      <c r="Y64" s="170" t="s">
        <v>2021</v>
      </c>
      <c r="Z64" s="170" t="s">
        <v>2022</v>
      </c>
      <c r="AA64" s="170">
        <v>7.6999999999999999E-2</v>
      </c>
      <c r="AB64" s="170" t="s">
        <v>2023</v>
      </c>
      <c r="AC64" s="171">
        <v>3.0000000000000001E-3</v>
      </c>
    </row>
    <row r="65" spans="2:29" ht="119.4" thickBot="1" x14ac:dyDescent="0.35">
      <c r="B65" s="161" t="s">
        <v>366</v>
      </c>
      <c r="C65" s="154" t="s">
        <v>967</v>
      </c>
      <c r="D65" s="154" t="s">
        <v>968</v>
      </c>
      <c r="E65" s="155" t="s">
        <v>969</v>
      </c>
      <c r="F65" s="155" t="s">
        <v>970</v>
      </c>
      <c r="G65" s="154" t="s">
        <v>971</v>
      </c>
      <c r="H65" s="154" t="s">
        <v>972</v>
      </c>
      <c r="I65" s="155" t="s">
        <v>973</v>
      </c>
      <c r="J65" s="155" t="s">
        <v>974</v>
      </c>
      <c r="K65" s="154" t="s">
        <v>975</v>
      </c>
      <c r="L65" s="154" t="s">
        <v>976</v>
      </c>
      <c r="M65" s="155" t="s">
        <v>977</v>
      </c>
      <c r="N65" s="155" t="s">
        <v>978</v>
      </c>
      <c r="O65" s="159"/>
      <c r="Q65" s="170" t="s">
        <v>1264</v>
      </c>
      <c r="R65" s="170" t="s">
        <v>1459</v>
      </c>
      <c r="S65" s="170" t="s">
        <v>1460</v>
      </c>
      <c r="T65" s="170">
        <v>6.0000000000000001E-3</v>
      </c>
      <c r="U65" s="170" t="s">
        <v>1461</v>
      </c>
      <c r="V65" s="171">
        <v>5.0000000000000001E-3</v>
      </c>
      <c r="X65" s="170" t="s">
        <v>1272</v>
      </c>
      <c r="Y65" s="170" t="s">
        <v>2024</v>
      </c>
      <c r="Z65" s="170" t="s">
        <v>2025</v>
      </c>
      <c r="AA65" s="170">
        <v>2.7E-2</v>
      </c>
      <c r="AB65" s="170" t="s">
        <v>2026</v>
      </c>
      <c r="AC65" s="171">
        <v>2E-3</v>
      </c>
    </row>
    <row r="66" spans="2:29" ht="93" thickBot="1" x14ac:dyDescent="0.35">
      <c r="B66" s="161" t="s">
        <v>367</v>
      </c>
      <c r="C66" s="154" t="s">
        <v>979</v>
      </c>
      <c r="D66" s="154" t="s">
        <v>980</v>
      </c>
      <c r="E66" s="155" t="s">
        <v>981</v>
      </c>
      <c r="F66" s="155" t="s">
        <v>982</v>
      </c>
      <c r="G66" s="154" t="s">
        <v>983</v>
      </c>
      <c r="H66" s="154" t="s">
        <v>984</v>
      </c>
      <c r="I66" s="155" t="s">
        <v>985</v>
      </c>
      <c r="J66" s="155" t="s">
        <v>986</v>
      </c>
      <c r="K66" s="154" t="s">
        <v>987</v>
      </c>
      <c r="L66" s="154" t="s">
        <v>988</v>
      </c>
      <c r="M66" s="155" t="s">
        <v>989</v>
      </c>
      <c r="N66" s="155" t="s">
        <v>990</v>
      </c>
      <c r="O66" s="159"/>
      <c r="Q66" s="170" t="s">
        <v>1268</v>
      </c>
      <c r="R66" s="170" t="s">
        <v>1462</v>
      </c>
      <c r="S66" s="170" t="s">
        <v>1463</v>
      </c>
      <c r="T66" s="170">
        <v>6.2E-2</v>
      </c>
      <c r="U66" s="170" t="s">
        <v>1464</v>
      </c>
      <c r="V66" s="171">
        <v>3.0000000000000001E-3</v>
      </c>
      <c r="X66" s="170" t="s">
        <v>1276</v>
      </c>
      <c r="Y66" s="170" t="s">
        <v>2027</v>
      </c>
      <c r="Z66" s="170" t="s">
        <v>2028</v>
      </c>
      <c r="AA66" s="170">
        <v>3.5999999999999997E-2</v>
      </c>
      <c r="AB66" s="170" t="s">
        <v>2029</v>
      </c>
      <c r="AC66" s="171">
        <v>6.0000000000000001E-3</v>
      </c>
    </row>
    <row r="67" spans="2:29" ht="106.2" thickBot="1" x14ac:dyDescent="0.35">
      <c r="B67" s="161" t="s">
        <v>368</v>
      </c>
      <c r="C67" s="154" t="s">
        <v>991</v>
      </c>
      <c r="D67" s="154" t="s">
        <v>992</v>
      </c>
      <c r="E67" s="155" t="s">
        <v>993</v>
      </c>
      <c r="F67" s="155" t="s">
        <v>994</v>
      </c>
      <c r="G67" s="154" t="s">
        <v>995</v>
      </c>
      <c r="H67" s="154" t="s">
        <v>996</v>
      </c>
      <c r="I67" s="155" t="s">
        <v>997</v>
      </c>
      <c r="J67" s="155" t="s">
        <v>998</v>
      </c>
      <c r="K67" s="154" t="s">
        <v>999</v>
      </c>
      <c r="L67" s="154" t="s">
        <v>1000</v>
      </c>
      <c r="M67" s="155" t="s">
        <v>1001</v>
      </c>
      <c r="N67" s="155" t="s">
        <v>1002</v>
      </c>
      <c r="O67" s="159"/>
      <c r="Q67" s="170" t="s">
        <v>1272</v>
      </c>
      <c r="R67" s="170" t="s">
        <v>1465</v>
      </c>
      <c r="S67" s="170" t="s">
        <v>1466</v>
      </c>
      <c r="T67" s="170">
        <v>1.9E-2</v>
      </c>
      <c r="U67" s="170" t="s">
        <v>1467</v>
      </c>
      <c r="V67" s="171">
        <v>4.0000000000000001E-3</v>
      </c>
      <c r="X67" s="170" t="s">
        <v>1280</v>
      </c>
      <c r="Y67" s="170" t="s">
        <v>2030</v>
      </c>
      <c r="Z67" s="170" t="s">
        <v>2031</v>
      </c>
      <c r="AA67" s="170">
        <v>3.9E-2</v>
      </c>
      <c r="AB67" s="170" t="s">
        <v>2032</v>
      </c>
      <c r="AC67" s="171">
        <v>1.2E-2</v>
      </c>
    </row>
    <row r="68" spans="2:29" ht="93" thickBot="1" x14ac:dyDescent="0.35">
      <c r="B68" s="161" t="s">
        <v>369</v>
      </c>
      <c r="C68" s="154" t="s">
        <v>1003</v>
      </c>
      <c r="D68" s="154" t="s">
        <v>1004</v>
      </c>
      <c r="E68" s="155" t="s">
        <v>1005</v>
      </c>
      <c r="F68" s="155" t="s">
        <v>1006</v>
      </c>
      <c r="G68" s="154" t="s">
        <v>1007</v>
      </c>
      <c r="H68" s="154" t="s">
        <v>1008</v>
      </c>
      <c r="I68" s="155" t="s">
        <v>1009</v>
      </c>
      <c r="J68" s="155" t="s">
        <v>1010</v>
      </c>
      <c r="K68" s="154" t="s">
        <v>1011</v>
      </c>
      <c r="L68" s="154" t="s">
        <v>1012</v>
      </c>
      <c r="M68" s="155" t="s">
        <v>1013</v>
      </c>
      <c r="N68" s="155" t="s">
        <v>1014</v>
      </c>
      <c r="O68" s="159"/>
      <c r="Q68" s="170" t="s">
        <v>1276</v>
      </c>
      <c r="R68" s="170" t="s">
        <v>1468</v>
      </c>
      <c r="S68" s="170" t="s">
        <v>1469</v>
      </c>
      <c r="T68" s="170">
        <v>2.9000000000000001E-2</v>
      </c>
      <c r="U68" s="170" t="s">
        <v>1470</v>
      </c>
      <c r="V68" s="171">
        <v>3.0000000000000001E-3</v>
      </c>
      <c r="X68" s="170" t="s">
        <v>1284</v>
      </c>
      <c r="Y68" s="170" t="s">
        <v>2033</v>
      </c>
      <c r="Z68" s="170" t="s">
        <v>2034</v>
      </c>
      <c r="AA68" s="170">
        <v>3.1E-2</v>
      </c>
      <c r="AB68" s="170" t="s">
        <v>2035</v>
      </c>
      <c r="AC68" s="171">
        <v>8.9999999999999993E-3</v>
      </c>
    </row>
    <row r="69" spans="2:29" ht="93" thickBot="1" x14ac:dyDescent="0.35">
      <c r="B69" s="161" t="s">
        <v>370</v>
      </c>
      <c r="C69" s="154" t="s">
        <v>1015</v>
      </c>
      <c r="D69" s="154" t="s">
        <v>1016</v>
      </c>
      <c r="E69" s="155" t="s">
        <v>1017</v>
      </c>
      <c r="F69" s="155" t="s">
        <v>1018</v>
      </c>
      <c r="G69" s="154" t="s">
        <v>1019</v>
      </c>
      <c r="H69" s="154" t="s">
        <v>1020</v>
      </c>
      <c r="I69" s="155" t="s">
        <v>1021</v>
      </c>
      <c r="J69" s="155" t="s">
        <v>1022</v>
      </c>
      <c r="K69" s="154" t="s">
        <v>1023</v>
      </c>
      <c r="L69" s="154" t="s">
        <v>1024</v>
      </c>
      <c r="M69" s="155" t="s">
        <v>1025</v>
      </c>
      <c r="N69" s="155" t="s">
        <v>1026</v>
      </c>
      <c r="O69" s="159"/>
      <c r="Q69" s="170" t="s">
        <v>1280</v>
      </c>
      <c r="R69" s="170" t="s">
        <v>1471</v>
      </c>
      <c r="S69" s="170" t="s">
        <v>1472</v>
      </c>
      <c r="T69" s="170">
        <v>3.9E-2</v>
      </c>
      <c r="U69" s="170" t="s">
        <v>1473</v>
      </c>
      <c r="V69" s="171">
        <v>0.01</v>
      </c>
      <c r="X69" s="170" t="s">
        <v>1288</v>
      </c>
      <c r="Y69" s="170" t="s">
        <v>2036</v>
      </c>
      <c r="Z69" s="170" t="s">
        <v>2037</v>
      </c>
      <c r="AA69" s="170">
        <v>1.9E-2</v>
      </c>
      <c r="AB69" s="170" t="s">
        <v>2038</v>
      </c>
      <c r="AC69" s="171">
        <v>1E-3</v>
      </c>
    </row>
    <row r="70" spans="2:29" ht="93" thickBot="1" x14ac:dyDescent="0.35">
      <c r="B70" s="161" t="s">
        <v>1027</v>
      </c>
      <c r="C70" s="162"/>
      <c r="D70" s="162"/>
      <c r="E70" s="163"/>
      <c r="F70" s="163"/>
      <c r="G70" s="162"/>
      <c r="H70" s="162"/>
      <c r="I70" s="163"/>
      <c r="J70" s="163"/>
      <c r="K70" s="162"/>
      <c r="L70" s="162"/>
      <c r="M70" s="163"/>
      <c r="N70" s="163"/>
      <c r="O70" s="159"/>
      <c r="Q70" s="170" t="s">
        <v>1284</v>
      </c>
      <c r="R70" s="170" t="s">
        <v>1474</v>
      </c>
      <c r="S70" s="170" t="s">
        <v>1475</v>
      </c>
      <c r="T70" s="170">
        <v>3.7999999999999999E-2</v>
      </c>
      <c r="U70" s="170" t="s">
        <v>1476</v>
      </c>
      <c r="V70" s="171">
        <v>5.0000000000000001E-3</v>
      </c>
      <c r="X70" s="170" t="s">
        <v>1292</v>
      </c>
      <c r="Y70" s="170" t="s">
        <v>2039</v>
      </c>
      <c r="Z70" s="170" t="s">
        <v>2040</v>
      </c>
      <c r="AA70" s="170">
        <v>0.01</v>
      </c>
      <c r="AB70" s="170" t="s">
        <v>2041</v>
      </c>
      <c r="AC70" s="171">
        <v>3.0000000000000001E-3</v>
      </c>
    </row>
    <row r="71" spans="2:29" ht="119.4" thickBot="1" x14ac:dyDescent="0.35">
      <c r="B71" s="161" t="s">
        <v>372</v>
      </c>
      <c r="C71" s="154" t="s">
        <v>1028</v>
      </c>
      <c r="D71" s="154" t="s">
        <v>1029</v>
      </c>
      <c r="E71" s="155" t="s">
        <v>1030</v>
      </c>
      <c r="F71" s="155" t="s">
        <v>1031</v>
      </c>
      <c r="G71" s="154" t="s">
        <v>1032</v>
      </c>
      <c r="H71" s="154" t="s">
        <v>1033</v>
      </c>
      <c r="I71" s="155" t="s">
        <v>1034</v>
      </c>
      <c r="J71" s="155" t="s">
        <v>1035</v>
      </c>
      <c r="K71" s="154" t="s">
        <v>1036</v>
      </c>
      <c r="L71" s="154" t="s">
        <v>1037</v>
      </c>
      <c r="M71" s="155" t="s">
        <v>1038</v>
      </c>
      <c r="N71" s="155" t="s">
        <v>1039</v>
      </c>
      <c r="O71" s="159"/>
      <c r="Q71" s="170" t="s">
        <v>1288</v>
      </c>
      <c r="R71" s="170" t="s">
        <v>1477</v>
      </c>
      <c r="S71" s="170" t="s">
        <v>1478</v>
      </c>
      <c r="T71" s="170">
        <v>2.1000000000000001E-2</v>
      </c>
      <c r="U71" s="170" t="s">
        <v>1479</v>
      </c>
      <c r="V71" s="171">
        <v>1E-3</v>
      </c>
      <c r="X71" s="170" t="s">
        <v>1295</v>
      </c>
      <c r="Y71" s="170" t="s">
        <v>2042</v>
      </c>
      <c r="Z71" s="170" t="s">
        <v>2043</v>
      </c>
      <c r="AA71" s="170">
        <v>6.0000000000000001E-3</v>
      </c>
      <c r="AB71" s="170" t="s">
        <v>2044</v>
      </c>
      <c r="AC71" s="171">
        <v>1E-3</v>
      </c>
    </row>
    <row r="72" spans="2:29" ht="106.2" thickBot="1" x14ac:dyDescent="0.35">
      <c r="B72" s="161" t="s">
        <v>373</v>
      </c>
      <c r="C72" s="154" t="s">
        <v>1040</v>
      </c>
      <c r="D72" s="154" t="s">
        <v>1041</v>
      </c>
      <c r="E72" s="155" t="s">
        <v>1042</v>
      </c>
      <c r="F72" s="155" t="s">
        <v>1043</v>
      </c>
      <c r="G72" s="154" t="s">
        <v>1044</v>
      </c>
      <c r="H72" s="154" t="s">
        <v>1045</v>
      </c>
      <c r="I72" s="155" t="s">
        <v>1046</v>
      </c>
      <c r="J72" s="155" t="s">
        <v>850</v>
      </c>
      <c r="K72" s="154" t="s">
        <v>1047</v>
      </c>
      <c r="L72" s="154" t="s">
        <v>1048</v>
      </c>
      <c r="M72" s="155" t="s">
        <v>1049</v>
      </c>
      <c r="N72" s="155" t="s">
        <v>1050</v>
      </c>
      <c r="O72" s="159"/>
      <c r="Q72" s="170" t="s">
        <v>1292</v>
      </c>
      <c r="R72" s="170" t="s">
        <v>1480</v>
      </c>
      <c r="S72" s="170" t="s">
        <v>1481</v>
      </c>
      <c r="T72" s="170">
        <v>7.0000000000000001E-3</v>
      </c>
      <c r="U72" s="170" t="s">
        <v>1482</v>
      </c>
      <c r="V72" s="171">
        <v>4.0000000000000001E-3</v>
      </c>
      <c r="X72" s="170" t="s">
        <v>1299</v>
      </c>
      <c r="Y72" s="170" t="s">
        <v>2045</v>
      </c>
      <c r="Z72" s="170" t="s">
        <v>1486</v>
      </c>
      <c r="AA72" s="170">
        <v>2E-3</v>
      </c>
      <c r="AB72" s="170" t="s">
        <v>2046</v>
      </c>
      <c r="AC72" s="171">
        <v>2E-3</v>
      </c>
    </row>
    <row r="73" spans="2:29" ht="119.4" thickBot="1" x14ac:dyDescent="0.35">
      <c r="B73" s="161" t="s">
        <v>374</v>
      </c>
      <c r="C73" s="154" t="s">
        <v>1051</v>
      </c>
      <c r="D73" s="154" t="s">
        <v>935</v>
      </c>
      <c r="E73" s="155" t="s">
        <v>1052</v>
      </c>
      <c r="F73" s="155" t="s">
        <v>1053</v>
      </c>
      <c r="G73" s="154" t="s">
        <v>1054</v>
      </c>
      <c r="H73" s="154" t="s">
        <v>560</v>
      </c>
      <c r="I73" s="155" t="s">
        <v>1055</v>
      </c>
      <c r="J73" s="155" t="s">
        <v>560</v>
      </c>
      <c r="K73" s="154" t="s">
        <v>1056</v>
      </c>
      <c r="L73" s="154" t="s">
        <v>1057</v>
      </c>
      <c r="M73" s="155" t="s">
        <v>1058</v>
      </c>
      <c r="N73" s="155" t="s">
        <v>1059</v>
      </c>
      <c r="O73" s="159"/>
      <c r="Q73" s="170" t="s">
        <v>1295</v>
      </c>
      <c r="R73" s="170" t="s">
        <v>1483</v>
      </c>
      <c r="S73" s="170" t="s">
        <v>1484</v>
      </c>
      <c r="T73" s="170">
        <v>2E-3</v>
      </c>
      <c r="U73" s="170" t="s">
        <v>1483</v>
      </c>
      <c r="V73" s="171">
        <v>1E-3</v>
      </c>
      <c r="X73" s="170" t="s">
        <v>1303</v>
      </c>
      <c r="Y73" s="170" t="s">
        <v>2047</v>
      </c>
      <c r="Z73" s="170" t="s">
        <v>1487</v>
      </c>
      <c r="AA73" s="170">
        <v>3.0000000000000001E-3</v>
      </c>
      <c r="AB73" s="170" t="s">
        <v>2048</v>
      </c>
      <c r="AC73" s="171">
        <v>3.0000000000000001E-3</v>
      </c>
    </row>
    <row r="74" spans="2:29" ht="106.2" thickBot="1" x14ac:dyDescent="0.35">
      <c r="B74" s="161" t="s">
        <v>375</v>
      </c>
      <c r="C74" s="154" t="s">
        <v>1060</v>
      </c>
      <c r="D74" s="154" t="s">
        <v>1061</v>
      </c>
      <c r="E74" s="155" t="s">
        <v>1062</v>
      </c>
      <c r="F74" s="155" t="s">
        <v>1061</v>
      </c>
      <c r="G74" s="154" t="s">
        <v>1063</v>
      </c>
      <c r="H74" s="154" t="s">
        <v>1064</v>
      </c>
      <c r="I74" s="155" t="s">
        <v>1065</v>
      </c>
      <c r="J74" s="155" t="s">
        <v>1064</v>
      </c>
      <c r="K74" s="154" t="s">
        <v>1066</v>
      </c>
      <c r="L74" s="154" t="s">
        <v>1067</v>
      </c>
      <c r="M74" s="155" t="s">
        <v>1068</v>
      </c>
      <c r="N74" s="155" t="s">
        <v>1069</v>
      </c>
      <c r="O74" s="159"/>
      <c r="Q74" s="170" t="s">
        <v>1299</v>
      </c>
      <c r="R74" s="170" t="s">
        <v>1485</v>
      </c>
      <c r="S74" s="170" t="s">
        <v>1486</v>
      </c>
      <c r="T74" s="170">
        <v>1E-3</v>
      </c>
      <c r="U74" s="170" t="s">
        <v>1317</v>
      </c>
      <c r="V74" s="171">
        <v>2E-3</v>
      </c>
      <c r="X74" s="170" t="s">
        <v>2049</v>
      </c>
      <c r="Y74" s="170" t="s">
        <v>2050</v>
      </c>
      <c r="Z74" s="170" t="s">
        <v>855</v>
      </c>
      <c r="AA74" s="170">
        <v>2.9000000000000001E-2</v>
      </c>
      <c r="AB74" s="170" t="s">
        <v>855</v>
      </c>
      <c r="AC74" s="171">
        <v>2.9000000000000001E-2</v>
      </c>
    </row>
    <row r="75" spans="2:29" ht="119.4" thickBot="1" x14ac:dyDescent="0.35">
      <c r="B75" s="161" t="s">
        <v>376</v>
      </c>
      <c r="C75" s="154" t="s">
        <v>1070</v>
      </c>
      <c r="D75" s="154" t="s">
        <v>1071</v>
      </c>
      <c r="E75" s="155" t="s">
        <v>1072</v>
      </c>
      <c r="F75" s="155" t="s">
        <v>1071</v>
      </c>
      <c r="G75" s="154" t="s">
        <v>1073</v>
      </c>
      <c r="H75" s="154" t="s">
        <v>1074</v>
      </c>
      <c r="I75" s="155" t="s">
        <v>1075</v>
      </c>
      <c r="J75" s="155" t="s">
        <v>1074</v>
      </c>
      <c r="K75" s="154" t="s">
        <v>1076</v>
      </c>
      <c r="L75" s="154" t="s">
        <v>1077</v>
      </c>
      <c r="M75" s="155" t="s">
        <v>1077</v>
      </c>
      <c r="N75" s="155" t="s">
        <v>1077</v>
      </c>
      <c r="O75" s="159"/>
      <c r="Q75" s="170" t="s">
        <v>1303</v>
      </c>
      <c r="R75" s="170" t="s">
        <v>1304</v>
      </c>
      <c r="S75" s="170" t="s">
        <v>1487</v>
      </c>
      <c r="T75" s="170">
        <v>4.0000000000000001E-3</v>
      </c>
      <c r="U75" s="170" t="s">
        <v>1488</v>
      </c>
      <c r="V75" s="171">
        <v>4.0000000000000001E-3</v>
      </c>
      <c r="X75" s="170" t="s">
        <v>2051</v>
      </c>
      <c r="Y75" s="170" t="s">
        <v>2052</v>
      </c>
      <c r="Z75" s="170" t="s">
        <v>855</v>
      </c>
      <c r="AA75" s="170">
        <v>1.9E-2</v>
      </c>
      <c r="AB75" s="170" t="s">
        <v>855</v>
      </c>
      <c r="AC75" s="171">
        <v>1.9E-2</v>
      </c>
    </row>
    <row r="76" spans="2:29" ht="93" thickBot="1" x14ac:dyDescent="0.35">
      <c r="X76" s="170" t="s">
        <v>2053</v>
      </c>
      <c r="Y76" s="170" t="s">
        <v>1872</v>
      </c>
      <c r="Z76" s="170" t="s">
        <v>855</v>
      </c>
      <c r="AA76" s="170">
        <v>2.1999999999999999E-2</v>
      </c>
      <c r="AB76" s="170" t="s">
        <v>855</v>
      </c>
      <c r="AC76" s="171">
        <v>2.1999999999999999E-2</v>
      </c>
    </row>
  </sheetData>
  <mergeCells count="16">
    <mergeCell ref="X5:X6"/>
    <mergeCell ref="AA5:AA6"/>
    <mergeCell ref="AC5:AC6"/>
    <mergeCell ref="O5:O6"/>
    <mergeCell ref="Q5:Q6"/>
    <mergeCell ref="T5:T6"/>
    <mergeCell ref="V5:V6"/>
    <mergeCell ref="C3:F3"/>
    <mergeCell ref="G3:J3"/>
    <mergeCell ref="K3:O3"/>
    <mergeCell ref="C4:D4"/>
    <mergeCell ref="E4:F4"/>
    <mergeCell ref="G4:H4"/>
    <mergeCell ref="I4:J4"/>
    <mergeCell ref="K4:L4"/>
    <mergeCell ref="M4:O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TablesFigures</vt:lpstr>
      <vt:lpstr>MainTable4</vt:lpstr>
      <vt:lpstr>Organization</vt:lpstr>
      <vt:lpstr>Datasets</vt:lpstr>
      <vt:lpstr>Table 4</vt:lpstr>
      <vt:lpstr>WebTable4</vt:lpstr>
      <vt:lpstr>Table2_Notrim</vt:lpstr>
      <vt:lpstr>Webtable1</vt:lpstr>
      <vt:lpstr>Webtable2</vt:lpstr>
      <vt:lpstr>WebTable3</vt:lpstr>
      <vt:lpstr>Sheet4</vt:lpstr>
      <vt:lpstr>Sheet2</vt:lpstr>
      <vt:lpstr>Table2trim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 Jeanny</dc:creator>
  <cp:lastModifiedBy>Wang, Jeanny</cp:lastModifiedBy>
  <dcterms:created xsi:type="dcterms:W3CDTF">2024-12-14T17:28:06Z</dcterms:created>
  <dcterms:modified xsi:type="dcterms:W3CDTF">2024-12-24T01:26:52Z</dcterms:modified>
</cp:coreProperties>
</file>